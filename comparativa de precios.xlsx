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d00155-my.sharepoint.com/personal/presupuestos_compras_malvinasargentinas_gob_ar/Documents/"/>
    </mc:Choice>
  </mc:AlternateContent>
  <xr:revisionPtr revIDLastSave="0" documentId="8_{A5F80C1A-59EE-4E17-91EC-61AFE744239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ase de datos" sheetId="1" r:id="rId1"/>
    <sheet name="Torta Comparativa 2024" sheetId="19" r:id="rId2"/>
    <sheet name="Torta Comparativa 2025" sheetId="18" r:id="rId3"/>
    <sheet name="Torta Comparativa 2026" sheetId="20" r:id="rId4"/>
  </sheets>
  <definedNames>
    <definedName name="_xlcn.WorksheetConnection_comparativadeprecios.xlsxbasededatoA1I9981" hidden="1">'Base de datos'!$A$1:$J$1011</definedName>
  </definedNames>
  <calcPr calcId="191028"/>
  <pivotCaches>
    <pivotCache cacheId="1688" r:id="rId5"/>
    <pivotCache cacheId="1689" r:id="rId6"/>
    <pivotCache cacheId="1690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-1626425b-a86a-410a-afb6-c6cd1ae12c94" name="Rango" connection="WorksheetConnection_[comparativa de precios.xlsx]base de dato!$A$1:$I$998"/>
        </x15:modelTables>
        <x15:extLst>
          <ext xmlns:x16="http://schemas.microsoft.com/office/spreadsheetml/2014/11/main" uri="{9835A34E-60A6-4A7C-AAB8-D5F71C897F49}">
            <x16:modelTimeGroupings>
              <x16:modelTimeGrouping tableName="Rango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4" i="1" l="1"/>
  <c r="D1004" i="1"/>
  <c r="D925" i="1"/>
  <c r="E925" i="1"/>
  <c r="D1012" i="1"/>
  <c r="E1012" i="1"/>
  <c r="D1013" i="1"/>
  <c r="E1013" i="1"/>
  <c r="D1014" i="1"/>
  <c r="E1014" i="1"/>
  <c r="D1015" i="1"/>
  <c r="E1015" i="1"/>
  <c r="D1016" i="1"/>
  <c r="E1016" i="1"/>
  <c r="D1017" i="1"/>
  <c r="E1017" i="1"/>
  <c r="D1018" i="1"/>
  <c r="E1018" i="1"/>
  <c r="D1019" i="1"/>
  <c r="E1019" i="1"/>
  <c r="D1020" i="1"/>
  <c r="E1020" i="1"/>
  <c r="D1021" i="1"/>
  <c r="E1021" i="1"/>
  <c r="D1022" i="1"/>
  <c r="E1022" i="1"/>
  <c r="D1023" i="1"/>
  <c r="E1023" i="1"/>
  <c r="D1024" i="1"/>
  <c r="E1024" i="1"/>
  <c r="D1025" i="1"/>
  <c r="E1025" i="1"/>
  <c r="D1026" i="1"/>
  <c r="E1026" i="1"/>
  <c r="D1027" i="1"/>
  <c r="E1027" i="1"/>
  <c r="D1028" i="1"/>
  <c r="E1028" i="1"/>
  <c r="D1029" i="1"/>
  <c r="E1029" i="1"/>
  <c r="D1030" i="1"/>
  <c r="E1030" i="1"/>
  <c r="D1031" i="1"/>
  <c r="E1031" i="1"/>
  <c r="D1032" i="1"/>
  <c r="E1032" i="1"/>
  <c r="D1033" i="1"/>
  <c r="E1033" i="1"/>
  <c r="D1034" i="1"/>
  <c r="E1034" i="1"/>
  <c r="D1035" i="1"/>
  <c r="E1035" i="1"/>
  <c r="D1036" i="1"/>
  <c r="E1036" i="1"/>
  <c r="D1037" i="1"/>
  <c r="E1037" i="1"/>
  <c r="D1038" i="1"/>
  <c r="E1038" i="1"/>
  <c r="D1039" i="1"/>
  <c r="E1039" i="1"/>
  <c r="D1040" i="1"/>
  <c r="E1040" i="1"/>
  <c r="D1041" i="1"/>
  <c r="E1041" i="1"/>
  <c r="D1042" i="1"/>
  <c r="E1042" i="1"/>
  <c r="D1043" i="1"/>
  <c r="E1043" i="1"/>
  <c r="D1044" i="1"/>
  <c r="E1044" i="1"/>
  <c r="D1045" i="1"/>
  <c r="E1045" i="1"/>
  <c r="D1046" i="1"/>
  <c r="E1046" i="1"/>
  <c r="D1047" i="1"/>
  <c r="E1047" i="1"/>
  <c r="D1048" i="1"/>
  <c r="E1048" i="1"/>
  <c r="D1049" i="1"/>
  <c r="E1049" i="1"/>
  <c r="D1050" i="1"/>
  <c r="E1050" i="1"/>
  <c r="D1051" i="1"/>
  <c r="E1051" i="1"/>
  <c r="D1052" i="1"/>
  <c r="E1052" i="1"/>
  <c r="D1053" i="1"/>
  <c r="E1053" i="1"/>
  <c r="D1054" i="1"/>
  <c r="E1054" i="1"/>
  <c r="D1055" i="1"/>
  <c r="E1055" i="1"/>
  <c r="D1056" i="1"/>
  <c r="E1056" i="1"/>
  <c r="D1057" i="1"/>
  <c r="E1057" i="1"/>
  <c r="D1058" i="1"/>
  <c r="E1058" i="1"/>
  <c r="D1060" i="1"/>
  <c r="E1060" i="1"/>
  <c r="D1061" i="1"/>
  <c r="E1061" i="1"/>
  <c r="D1062" i="1"/>
  <c r="E1062" i="1"/>
  <c r="D1063" i="1"/>
  <c r="E1063" i="1"/>
  <c r="D1064" i="1"/>
  <c r="E1064" i="1"/>
  <c r="D1065" i="1"/>
  <c r="E1065" i="1"/>
  <c r="D1066" i="1"/>
  <c r="E1066" i="1"/>
  <c r="D1067" i="1"/>
  <c r="E1067" i="1"/>
  <c r="D1068" i="1"/>
  <c r="E1068" i="1"/>
  <c r="D1069" i="1"/>
  <c r="E1069" i="1"/>
  <c r="D1070" i="1"/>
  <c r="E1070" i="1"/>
  <c r="D1071" i="1"/>
  <c r="E1071" i="1"/>
  <c r="D1072" i="1"/>
  <c r="E1072" i="1"/>
  <c r="D1073" i="1"/>
  <c r="E1073" i="1"/>
  <c r="D1074" i="1"/>
  <c r="E1074" i="1"/>
  <c r="D1075" i="1"/>
  <c r="E1075" i="1"/>
  <c r="D1076" i="1"/>
  <c r="E1076" i="1"/>
  <c r="D1077" i="1"/>
  <c r="E1077" i="1"/>
  <c r="D1078" i="1"/>
  <c r="E1078" i="1"/>
  <c r="D1079" i="1"/>
  <c r="E1079" i="1"/>
  <c r="D1080" i="1"/>
  <c r="E1080" i="1"/>
  <c r="D1081" i="1"/>
  <c r="E1081" i="1"/>
  <c r="D1082" i="1"/>
  <c r="E1082" i="1"/>
  <c r="D1083" i="1"/>
  <c r="E1083" i="1"/>
  <c r="D1084" i="1"/>
  <c r="E1084" i="1"/>
  <c r="D1085" i="1"/>
  <c r="E1085" i="1"/>
  <c r="D1086" i="1"/>
  <c r="E1086" i="1"/>
  <c r="D1087" i="1"/>
  <c r="E1087" i="1"/>
  <c r="D1088" i="1"/>
  <c r="E1088" i="1"/>
  <c r="D1089" i="1"/>
  <c r="E1089" i="1"/>
  <c r="D1090" i="1"/>
  <c r="E1090" i="1"/>
  <c r="D1091" i="1"/>
  <c r="E1091" i="1"/>
  <c r="D1092" i="1"/>
  <c r="E1092" i="1"/>
  <c r="D1093" i="1"/>
  <c r="E1093" i="1"/>
  <c r="D1094" i="1"/>
  <c r="E1094" i="1"/>
  <c r="D1095" i="1"/>
  <c r="E1095" i="1"/>
  <c r="D1096" i="1"/>
  <c r="E1096" i="1"/>
  <c r="D1097" i="1"/>
  <c r="E1097" i="1"/>
  <c r="D1098" i="1"/>
  <c r="E1098" i="1"/>
  <c r="D1099" i="1"/>
  <c r="E1099" i="1"/>
  <c r="D1100" i="1"/>
  <c r="E1100" i="1"/>
  <c r="D1101" i="1"/>
  <c r="E1101" i="1"/>
  <c r="D1102" i="1"/>
  <c r="E1102" i="1"/>
  <c r="D1103" i="1"/>
  <c r="E1103" i="1"/>
  <c r="D1104" i="1"/>
  <c r="E1104" i="1"/>
  <c r="D1105" i="1"/>
  <c r="E1105" i="1"/>
  <c r="D1106" i="1"/>
  <c r="E1106" i="1"/>
  <c r="D1107" i="1"/>
  <c r="E1107" i="1"/>
  <c r="D1108" i="1"/>
  <c r="E1108" i="1"/>
  <c r="D1109" i="1"/>
  <c r="E1109" i="1"/>
  <c r="D1110" i="1"/>
  <c r="E1110" i="1"/>
  <c r="D1111" i="1"/>
  <c r="E1111" i="1"/>
  <c r="D1112" i="1"/>
  <c r="E1112" i="1"/>
  <c r="D1113" i="1"/>
  <c r="E1113" i="1"/>
  <c r="D1114" i="1"/>
  <c r="E1114" i="1"/>
  <c r="D1115" i="1"/>
  <c r="E1115" i="1"/>
  <c r="D1116" i="1"/>
  <c r="E1116" i="1"/>
  <c r="D1117" i="1"/>
  <c r="E1117" i="1"/>
  <c r="D1118" i="1"/>
  <c r="E1118" i="1"/>
  <c r="D1119" i="1"/>
  <c r="E1119" i="1"/>
  <c r="D1120" i="1"/>
  <c r="E1120" i="1"/>
  <c r="D1121" i="1"/>
  <c r="E1121" i="1"/>
  <c r="D1122" i="1"/>
  <c r="E1122" i="1"/>
  <c r="D1123" i="1"/>
  <c r="E1123" i="1"/>
  <c r="D1124" i="1"/>
  <c r="E1124" i="1"/>
  <c r="D1125" i="1"/>
  <c r="E1125" i="1"/>
  <c r="D1126" i="1"/>
  <c r="E1126" i="1"/>
  <c r="D1127" i="1"/>
  <c r="E1127" i="1"/>
  <c r="D1128" i="1"/>
  <c r="E1128" i="1"/>
  <c r="D1129" i="1"/>
  <c r="E1129" i="1"/>
  <c r="D1130" i="1"/>
  <c r="E1130" i="1"/>
  <c r="D1131" i="1"/>
  <c r="E1131" i="1"/>
  <c r="D1132" i="1"/>
  <c r="E1132" i="1"/>
  <c r="D1133" i="1"/>
  <c r="E1133" i="1"/>
  <c r="D1134" i="1"/>
  <c r="E1134" i="1"/>
  <c r="D1135" i="1"/>
  <c r="E1135" i="1"/>
  <c r="D1136" i="1"/>
  <c r="E1136" i="1"/>
  <c r="D1137" i="1"/>
  <c r="E1137" i="1"/>
  <c r="D1138" i="1"/>
  <c r="E1138" i="1"/>
  <c r="D1139" i="1"/>
  <c r="E1139" i="1"/>
  <c r="D1140" i="1"/>
  <c r="E1140" i="1"/>
  <c r="D1141" i="1"/>
  <c r="E1141" i="1"/>
  <c r="D1142" i="1"/>
  <c r="E1142" i="1"/>
  <c r="D1143" i="1"/>
  <c r="E1143" i="1"/>
  <c r="D1144" i="1"/>
  <c r="E1144" i="1"/>
  <c r="D1145" i="1"/>
  <c r="E1145" i="1"/>
  <c r="D1146" i="1"/>
  <c r="E1146" i="1"/>
  <c r="D1147" i="1"/>
  <c r="E1147" i="1"/>
  <c r="D1148" i="1"/>
  <c r="E1148" i="1"/>
  <c r="D1149" i="1"/>
  <c r="E1149" i="1"/>
  <c r="D1150" i="1"/>
  <c r="E1150" i="1"/>
  <c r="D1151" i="1"/>
  <c r="E1151" i="1"/>
  <c r="D1152" i="1"/>
  <c r="E1152" i="1"/>
  <c r="D1153" i="1"/>
  <c r="E1153" i="1"/>
  <c r="D1154" i="1"/>
  <c r="E1154" i="1"/>
  <c r="D1155" i="1"/>
  <c r="E1155" i="1"/>
  <c r="D1156" i="1"/>
  <c r="E1156" i="1"/>
  <c r="D1157" i="1"/>
  <c r="E1157" i="1"/>
  <c r="D1158" i="1"/>
  <c r="E1158" i="1"/>
  <c r="D1159" i="1"/>
  <c r="E1159" i="1"/>
  <c r="D1160" i="1"/>
  <c r="E1160" i="1"/>
  <c r="D1161" i="1"/>
  <c r="E1161" i="1"/>
  <c r="D1162" i="1"/>
  <c r="E1162" i="1"/>
  <c r="D1163" i="1"/>
  <c r="E1163" i="1"/>
  <c r="D1164" i="1"/>
  <c r="E1164" i="1"/>
  <c r="D1165" i="1"/>
  <c r="E1165" i="1"/>
  <c r="D1166" i="1"/>
  <c r="E1166" i="1"/>
  <c r="D1167" i="1"/>
  <c r="E1167" i="1"/>
  <c r="D1168" i="1"/>
  <c r="E1168" i="1"/>
  <c r="D1169" i="1"/>
  <c r="E1169" i="1"/>
  <c r="D1170" i="1"/>
  <c r="E1170" i="1"/>
  <c r="D1171" i="1"/>
  <c r="E1171" i="1"/>
  <c r="D1172" i="1"/>
  <c r="E1172" i="1"/>
  <c r="D1173" i="1"/>
  <c r="E1173" i="1"/>
  <c r="D1174" i="1"/>
  <c r="E1174" i="1"/>
  <c r="D1175" i="1"/>
  <c r="E1175" i="1"/>
  <c r="D1176" i="1"/>
  <c r="E1176" i="1"/>
  <c r="D1177" i="1"/>
  <c r="E1177" i="1"/>
  <c r="D1178" i="1"/>
  <c r="E1178" i="1"/>
  <c r="D1179" i="1"/>
  <c r="E1179" i="1"/>
  <c r="D1180" i="1"/>
  <c r="E1180" i="1"/>
  <c r="D1181" i="1"/>
  <c r="E1181" i="1"/>
  <c r="D1182" i="1"/>
  <c r="E1182" i="1"/>
  <c r="D1183" i="1"/>
  <c r="E1183" i="1"/>
  <c r="D1184" i="1"/>
  <c r="E1184" i="1"/>
  <c r="D1185" i="1"/>
  <c r="E1185" i="1"/>
  <c r="D1186" i="1"/>
  <c r="E1186" i="1"/>
  <c r="D1187" i="1"/>
  <c r="E1187" i="1"/>
  <c r="D1188" i="1"/>
  <c r="E1188" i="1"/>
  <c r="D1189" i="1"/>
  <c r="E1189" i="1"/>
  <c r="D1190" i="1"/>
  <c r="E1190" i="1"/>
  <c r="D1191" i="1"/>
  <c r="E1191" i="1"/>
  <c r="D1192" i="1"/>
  <c r="E1192" i="1"/>
  <c r="D1193" i="1"/>
  <c r="E1193" i="1"/>
  <c r="D1194" i="1"/>
  <c r="E1194" i="1"/>
  <c r="D1195" i="1"/>
  <c r="E1195" i="1"/>
  <c r="D1196" i="1"/>
  <c r="E1196" i="1"/>
  <c r="D1197" i="1"/>
  <c r="E1197" i="1"/>
  <c r="D1198" i="1"/>
  <c r="E1198" i="1"/>
  <c r="D1199" i="1"/>
  <c r="E1199" i="1"/>
  <c r="D1200" i="1"/>
  <c r="E1200" i="1"/>
  <c r="D1201" i="1"/>
  <c r="E1201" i="1"/>
  <c r="D1202" i="1"/>
  <c r="E1202" i="1"/>
  <c r="D1203" i="1"/>
  <c r="E1203" i="1"/>
  <c r="D1204" i="1"/>
  <c r="E1204" i="1"/>
  <c r="D1205" i="1"/>
  <c r="E1205" i="1"/>
  <c r="D1206" i="1"/>
  <c r="E1206" i="1"/>
  <c r="D1207" i="1"/>
  <c r="E1207" i="1"/>
  <c r="D1208" i="1"/>
  <c r="E1208" i="1"/>
  <c r="D1209" i="1"/>
  <c r="E1209" i="1"/>
  <c r="D1210" i="1"/>
  <c r="E1210" i="1"/>
  <c r="D1211" i="1"/>
  <c r="E1211" i="1"/>
  <c r="D1212" i="1"/>
  <c r="E1212" i="1"/>
  <c r="D1213" i="1"/>
  <c r="E1213" i="1"/>
  <c r="D1214" i="1"/>
  <c r="E1214" i="1"/>
  <c r="D1215" i="1"/>
  <c r="E1215" i="1"/>
  <c r="D1216" i="1"/>
  <c r="E1216" i="1"/>
  <c r="D1217" i="1"/>
  <c r="E1217" i="1"/>
  <c r="D1218" i="1"/>
  <c r="E1218" i="1"/>
  <c r="D1219" i="1"/>
  <c r="E1219" i="1"/>
  <c r="D1220" i="1"/>
  <c r="E1220" i="1"/>
  <c r="D1221" i="1"/>
  <c r="E1221" i="1"/>
  <c r="D1222" i="1"/>
  <c r="E1222" i="1"/>
  <c r="D1223" i="1"/>
  <c r="E1223" i="1"/>
  <c r="D1224" i="1"/>
  <c r="E1224" i="1"/>
  <c r="D1225" i="1"/>
  <c r="E1225" i="1"/>
  <c r="D1226" i="1"/>
  <c r="E1226" i="1"/>
  <c r="D1227" i="1"/>
  <c r="E1227" i="1"/>
  <c r="D1228" i="1"/>
  <c r="E1228" i="1"/>
  <c r="D1229" i="1"/>
  <c r="E1229" i="1"/>
  <c r="D1230" i="1"/>
  <c r="E1230" i="1"/>
  <c r="D1231" i="1"/>
  <c r="E1231" i="1"/>
  <c r="D1232" i="1"/>
  <c r="E1232" i="1"/>
  <c r="D1233" i="1"/>
  <c r="E1233" i="1"/>
  <c r="D1234" i="1"/>
  <c r="E1234" i="1"/>
  <c r="D1235" i="1"/>
  <c r="E1235" i="1"/>
  <c r="D1236" i="1"/>
  <c r="E1236" i="1"/>
  <c r="D1237" i="1"/>
  <c r="E1237" i="1"/>
  <c r="D1238" i="1"/>
  <c r="E1238" i="1"/>
  <c r="D1239" i="1"/>
  <c r="E1239" i="1"/>
  <c r="D1240" i="1"/>
  <c r="E1240" i="1"/>
  <c r="D1241" i="1"/>
  <c r="E1241" i="1"/>
  <c r="D1242" i="1"/>
  <c r="E1242" i="1"/>
  <c r="D1243" i="1"/>
  <c r="E1243" i="1"/>
  <c r="D1244" i="1"/>
  <c r="E1244" i="1"/>
  <c r="D1245" i="1"/>
  <c r="E1245" i="1"/>
  <c r="D1246" i="1"/>
  <c r="E1246" i="1"/>
  <c r="D1247" i="1"/>
  <c r="E1247" i="1"/>
  <c r="D1248" i="1"/>
  <c r="E1248" i="1"/>
  <c r="D1249" i="1"/>
  <c r="E1249" i="1"/>
  <c r="D1250" i="1"/>
  <c r="E1250" i="1"/>
  <c r="D1251" i="1"/>
  <c r="E1251" i="1"/>
  <c r="D1252" i="1"/>
  <c r="E1252" i="1"/>
  <c r="D1253" i="1"/>
  <c r="E1253" i="1"/>
  <c r="D1254" i="1"/>
  <c r="E1254" i="1"/>
  <c r="D1255" i="1"/>
  <c r="E1255" i="1"/>
  <c r="D1256" i="1"/>
  <c r="E1256" i="1"/>
  <c r="D1257" i="1"/>
  <c r="E1257" i="1"/>
  <c r="D1258" i="1"/>
  <c r="E1258" i="1"/>
  <c r="D1259" i="1"/>
  <c r="E1259" i="1"/>
  <c r="D1260" i="1"/>
  <c r="E1260" i="1"/>
  <c r="D1261" i="1"/>
  <c r="E1261" i="1"/>
  <c r="D1262" i="1"/>
  <c r="E1262" i="1"/>
  <c r="D1263" i="1"/>
  <c r="E1263" i="1"/>
  <c r="D1264" i="1"/>
  <c r="E1264" i="1"/>
  <c r="D1265" i="1"/>
  <c r="E1265" i="1"/>
  <c r="D1266" i="1"/>
  <c r="E1266" i="1"/>
  <c r="D1267" i="1"/>
  <c r="E1267" i="1"/>
  <c r="D1268" i="1"/>
  <c r="E1268" i="1"/>
  <c r="D1269" i="1"/>
  <c r="E1269" i="1"/>
  <c r="D1270" i="1"/>
  <c r="E1270" i="1"/>
  <c r="D1271" i="1"/>
  <c r="E1271" i="1"/>
  <c r="D1272" i="1"/>
  <c r="E1272" i="1"/>
  <c r="D1273" i="1"/>
  <c r="E1273" i="1"/>
  <c r="D1274" i="1"/>
  <c r="E1274" i="1"/>
  <c r="D1275" i="1"/>
  <c r="E1275" i="1"/>
  <c r="D1276" i="1"/>
  <c r="E1276" i="1"/>
  <c r="D1277" i="1"/>
  <c r="E1277" i="1"/>
  <c r="D1278" i="1"/>
  <c r="E1278" i="1"/>
  <c r="D1279" i="1"/>
  <c r="E1279" i="1"/>
  <c r="D1280" i="1"/>
  <c r="E1280" i="1"/>
  <c r="D1281" i="1"/>
  <c r="E1281" i="1"/>
  <c r="D1282" i="1"/>
  <c r="E1282" i="1"/>
  <c r="D1283" i="1"/>
  <c r="E1283" i="1"/>
  <c r="D1284" i="1"/>
  <c r="E1284" i="1"/>
  <c r="D1285" i="1"/>
  <c r="E1285" i="1"/>
  <c r="D1286" i="1"/>
  <c r="E1286" i="1"/>
  <c r="D1287" i="1"/>
  <c r="E1287" i="1"/>
  <c r="D1288" i="1"/>
  <c r="E1288" i="1"/>
  <c r="D1289" i="1"/>
  <c r="E1289" i="1"/>
  <c r="D1290" i="1"/>
  <c r="E1290" i="1"/>
  <c r="D1291" i="1"/>
  <c r="E1291" i="1"/>
  <c r="D1292" i="1"/>
  <c r="E1292" i="1"/>
  <c r="D1293" i="1"/>
  <c r="E1293" i="1"/>
  <c r="D1294" i="1"/>
  <c r="E1294" i="1"/>
  <c r="D1295" i="1"/>
  <c r="E1295" i="1"/>
  <c r="D1296" i="1"/>
  <c r="E1296" i="1"/>
  <c r="D1297" i="1"/>
  <c r="E1297" i="1"/>
  <c r="D1298" i="1"/>
  <c r="E1298" i="1"/>
  <c r="D1299" i="1"/>
  <c r="E1299" i="1"/>
  <c r="D1300" i="1"/>
  <c r="E1300" i="1"/>
  <c r="D1301" i="1"/>
  <c r="E1301" i="1"/>
  <c r="D1302" i="1"/>
  <c r="E1302" i="1"/>
  <c r="D1303" i="1"/>
  <c r="E1303" i="1"/>
  <c r="D1304" i="1"/>
  <c r="E1304" i="1"/>
  <c r="D1305" i="1"/>
  <c r="E1305" i="1"/>
  <c r="D1306" i="1"/>
  <c r="E1306" i="1"/>
  <c r="D1307" i="1"/>
  <c r="E1307" i="1"/>
  <c r="D1308" i="1"/>
  <c r="E1308" i="1"/>
  <c r="D1309" i="1"/>
  <c r="E1309" i="1"/>
  <c r="D1310" i="1"/>
  <c r="E1310" i="1"/>
  <c r="D1311" i="1"/>
  <c r="E1311" i="1"/>
  <c r="D1312" i="1"/>
  <c r="E1312" i="1"/>
  <c r="D1313" i="1"/>
  <c r="E1313" i="1"/>
  <c r="D1314" i="1"/>
  <c r="E1314" i="1"/>
  <c r="D1315" i="1"/>
  <c r="E1315" i="1"/>
  <c r="D1316" i="1"/>
  <c r="E1316" i="1"/>
  <c r="D1317" i="1"/>
  <c r="E1317" i="1"/>
  <c r="D1318" i="1"/>
  <c r="E1318" i="1"/>
  <c r="D1319" i="1"/>
  <c r="E1319" i="1"/>
  <c r="D1320" i="1"/>
  <c r="E1320" i="1"/>
  <c r="D1321" i="1"/>
  <c r="E1321" i="1"/>
  <c r="D1322" i="1"/>
  <c r="E1322" i="1"/>
  <c r="D1323" i="1"/>
  <c r="E1323" i="1"/>
  <c r="D1324" i="1"/>
  <c r="E1324" i="1"/>
  <c r="D1325" i="1"/>
  <c r="E1325" i="1"/>
  <c r="D1326" i="1"/>
  <c r="E1326" i="1"/>
  <c r="D1327" i="1"/>
  <c r="E1327" i="1"/>
  <c r="D1328" i="1"/>
  <c r="E1328" i="1"/>
  <c r="D1329" i="1"/>
  <c r="E1329" i="1"/>
  <c r="D1330" i="1"/>
  <c r="E1330" i="1"/>
  <c r="D1331" i="1"/>
  <c r="E1331" i="1"/>
  <c r="D1332" i="1"/>
  <c r="E1332" i="1"/>
  <c r="D1333" i="1"/>
  <c r="E1333" i="1"/>
  <c r="D1334" i="1"/>
  <c r="E1334" i="1"/>
  <c r="D1335" i="1"/>
  <c r="E1335" i="1"/>
  <c r="D1336" i="1"/>
  <c r="E1336" i="1"/>
  <c r="D1337" i="1"/>
  <c r="E1337" i="1"/>
  <c r="D1338" i="1"/>
  <c r="E1338" i="1"/>
  <c r="D1339" i="1"/>
  <c r="E1339" i="1"/>
  <c r="D1340" i="1"/>
  <c r="E1340" i="1"/>
  <c r="D1341" i="1"/>
  <c r="E1341" i="1"/>
  <c r="D1342" i="1"/>
  <c r="E1342" i="1"/>
  <c r="D1343" i="1"/>
  <c r="E1343" i="1"/>
  <c r="D1344" i="1"/>
  <c r="E1344" i="1"/>
  <c r="D1345" i="1"/>
  <c r="E1345" i="1"/>
  <c r="D1346" i="1"/>
  <c r="E1346" i="1"/>
  <c r="D1347" i="1"/>
  <c r="E1347" i="1"/>
  <c r="D1348" i="1"/>
  <c r="E1348" i="1"/>
  <c r="D1349" i="1"/>
  <c r="E1349" i="1"/>
  <c r="D1350" i="1"/>
  <c r="E1350" i="1"/>
  <c r="D1351" i="1"/>
  <c r="E1351" i="1"/>
  <c r="D1352" i="1"/>
  <c r="E1352" i="1"/>
  <c r="D1353" i="1"/>
  <c r="E1353" i="1"/>
  <c r="D1354" i="1"/>
  <c r="E1354" i="1"/>
  <c r="D1355" i="1"/>
  <c r="E1355" i="1"/>
  <c r="D1356" i="1"/>
  <c r="E1356" i="1"/>
  <c r="D1357" i="1"/>
  <c r="E1357" i="1"/>
  <c r="D1358" i="1"/>
  <c r="E1358" i="1"/>
  <c r="D1359" i="1"/>
  <c r="E1359" i="1"/>
  <c r="D1360" i="1"/>
  <c r="E1360" i="1"/>
  <c r="D1361" i="1"/>
  <c r="E1361" i="1"/>
  <c r="D1362" i="1"/>
  <c r="E1362" i="1"/>
  <c r="D1363" i="1"/>
  <c r="E1363" i="1"/>
  <c r="D1364" i="1"/>
  <c r="E1364" i="1"/>
  <c r="D1365" i="1"/>
  <c r="E1365" i="1"/>
  <c r="D1366" i="1"/>
  <c r="E1366" i="1"/>
  <c r="D1367" i="1"/>
  <c r="E1367" i="1"/>
  <c r="D1368" i="1"/>
  <c r="E1368" i="1"/>
  <c r="D1369" i="1"/>
  <c r="E1369" i="1"/>
  <c r="D1370" i="1"/>
  <c r="E1370" i="1"/>
  <c r="D1371" i="1"/>
  <c r="E1371" i="1"/>
  <c r="D1372" i="1"/>
  <c r="E1372" i="1"/>
  <c r="D1373" i="1"/>
  <c r="E1373" i="1"/>
  <c r="D1374" i="1"/>
  <c r="E1374" i="1"/>
  <c r="D1375" i="1"/>
  <c r="E1375" i="1"/>
  <c r="D1376" i="1"/>
  <c r="E1376" i="1"/>
  <c r="D1377" i="1"/>
  <c r="E1377" i="1"/>
  <c r="D1378" i="1"/>
  <c r="E1378" i="1"/>
  <c r="D1379" i="1"/>
  <c r="E1379" i="1"/>
  <c r="D1380" i="1"/>
  <c r="E1380" i="1"/>
  <c r="D1381" i="1"/>
  <c r="E1381" i="1"/>
  <c r="D1382" i="1"/>
  <c r="E1382" i="1"/>
  <c r="D1383" i="1"/>
  <c r="E1383" i="1"/>
  <c r="D1384" i="1"/>
  <c r="E1384" i="1"/>
  <c r="D1385" i="1"/>
  <c r="E1385" i="1"/>
  <c r="D1386" i="1"/>
  <c r="E1386" i="1"/>
  <c r="D1387" i="1"/>
  <c r="E1387" i="1"/>
  <c r="D1388" i="1"/>
  <c r="E1388" i="1"/>
  <c r="D1389" i="1"/>
  <c r="E1389" i="1"/>
  <c r="D1390" i="1"/>
  <c r="E1390" i="1"/>
  <c r="D1391" i="1"/>
  <c r="E1391" i="1"/>
  <c r="D1392" i="1"/>
  <c r="E1392" i="1"/>
  <c r="D1393" i="1"/>
  <c r="E1393" i="1"/>
  <c r="D1394" i="1"/>
  <c r="E1394" i="1"/>
  <c r="D1395" i="1"/>
  <c r="E1395" i="1"/>
  <c r="D1396" i="1"/>
  <c r="E1396" i="1"/>
  <c r="D1397" i="1"/>
  <c r="E1397" i="1"/>
  <c r="D1398" i="1"/>
  <c r="E1398" i="1"/>
  <c r="D1399" i="1"/>
  <c r="E1399" i="1"/>
  <c r="D1400" i="1"/>
  <c r="E1400" i="1"/>
  <c r="D1401" i="1"/>
  <c r="E1401" i="1"/>
  <c r="D1402" i="1"/>
  <c r="E1402" i="1"/>
  <c r="D1403" i="1"/>
  <c r="E1403" i="1"/>
  <c r="D1404" i="1"/>
  <c r="E1404" i="1"/>
  <c r="D1405" i="1"/>
  <c r="E1405" i="1"/>
  <c r="D1406" i="1"/>
  <c r="E1406" i="1"/>
  <c r="D1407" i="1"/>
  <c r="E1407" i="1"/>
  <c r="D1408" i="1"/>
  <c r="E1408" i="1"/>
  <c r="D1409" i="1"/>
  <c r="E1409" i="1"/>
  <c r="D1410" i="1"/>
  <c r="E1410" i="1"/>
  <c r="D1411" i="1"/>
  <c r="E1411" i="1"/>
  <c r="D1412" i="1"/>
  <c r="E1412" i="1"/>
  <c r="D1413" i="1"/>
  <c r="E1413" i="1"/>
  <c r="D1414" i="1"/>
  <c r="E1414" i="1"/>
  <c r="D1415" i="1"/>
  <c r="E1415" i="1"/>
  <c r="D1416" i="1"/>
  <c r="E1416" i="1"/>
  <c r="D1417" i="1"/>
  <c r="E1417" i="1"/>
  <c r="D1418" i="1"/>
  <c r="E1418" i="1"/>
  <c r="D1419" i="1"/>
  <c r="E1419" i="1"/>
  <c r="D1420" i="1"/>
  <c r="E1420" i="1"/>
  <c r="D1421" i="1"/>
  <c r="E1421" i="1"/>
  <c r="D1422" i="1"/>
  <c r="E1422" i="1"/>
  <c r="D1423" i="1"/>
  <c r="E1423" i="1"/>
  <c r="D1424" i="1"/>
  <c r="E1424" i="1"/>
  <c r="D1425" i="1"/>
  <c r="E1425" i="1"/>
  <c r="D1426" i="1"/>
  <c r="E1426" i="1"/>
  <c r="D1427" i="1"/>
  <c r="E1427" i="1"/>
  <c r="D1428" i="1"/>
  <c r="E1428" i="1"/>
  <c r="D1429" i="1"/>
  <c r="E1429" i="1"/>
  <c r="D1430" i="1"/>
  <c r="E1430" i="1"/>
  <c r="D1431" i="1"/>
  <c r="E1431" i="1"/>
  <c r="D1432" i="1"/>
  <c r="E1432" i="1"/>
  <c r="D1433" i="1"/>
  <c r="E1433" i="1"/>
  <c r="D1434" i="1"/>
  <c r="E1434" i="1"/>
  <c r="D1435" i="1"/>
  <c r="E1435" i="1"/>
  <c r="D1436" i="1"/>
  <c r="E1436" i="1"/>
  <c r="D1437" i="1"/>
  <c r="E1437" i="1"/>
  <c r="D1438" i="1"/>
  <c r="E1438" i="1"/>
  <c r="D1439" i="1"/>
  <c r="E1439" i="1"/>
  <c r="D1440" i="1"/>
  <c r="E1440" i="1"/>
  <c r="D1441" i="1"/>
  <c r="E1441" i="1"/>
  <c r="D1442" i="1"/>
  <c r="E1442" i="1"/>
  <c r="D1443" i="1"/>
  <c r="E1443" i="1"/>
  <c r="D1444" i="1"/>
  <c r="E1444" i="1"/>
  <c r="D1445" i="1"/>
  <c r="E1445" i="1"/>
  <c r="D1446" i="1"/>
  <c r="E1446" i="1"/>
  <c r="D1447" i="1"/>
  <c r="E1447" i="1"/>
  <c r="D1448" i="1"/>
  <c r="E1448" i="1"/>
  <c r="D1449" i="1"/>
  <c r="E1449" i="1"/>
  <c r="D1450" i="1"/>
  <c r="E1450" i="1"/>
  <c r="D1451" i="1"/>
  <c r="E1451" i="1"/>
  <c r="D1452" i="1"/>
  <c r="E1452" i="1"/>
  <c r="D1453" i="1"/>
  <c r="E1453" i="1"/>
  <c r="D1454" i="1"/>
  <c r="E1454" i="1"/>
  <c r="D1455" i="1"/>
  <c r="E1455" i="1"/>
  <c r="D1456" i="1"/>
  <c r="E1456" i="1"/>
  <c r="D1457" i="1"/>
  <c r="E1457" i="1"/>
  <c r="D1458" i="1"/>
  <c r="E1458" i="1"/>
  <c r="D1459" i="1"/>
  <c r="E1459" i="1"/>
  <c r="D1460" i="1"/>
  <c r="E1460" i="1"/>
  <c r="D1461" i="1"/>
  <c r="E1461" i="1"/>
  <c r="D1462" i="1"/>
  <c r="E1462" i="1"/>
  <c r="D1463" i="1"/>
  <c r="E1463" i="1"/>
  <c r="D1464" i="1"/>
  <c r="E1464" i="1"/>
  <c r="D1465" i="1"/>
  <c r="E1465" i="1"/>
  <c r="D1466" i="1"/>
  <c r="E1466" i="1"/>
  <c r="D1467" i="1"/>
  <c r="E1467" i="1"/>
  <c r="D1468" i="1"/>
  <c r="E1468" i="1"/>
  <c r="D1469" i="1"/>
  <c r="E1469" i="1"/>
  <c r="D1470" i="1"/>
  <c r="E1470" i="1"/>
  <c r="D1471" i="1"/>
  <c r="E1471" i="1"/>
  <c r="D1472" i="1"/>
  <c r="E1472" i="1"/>
  <c r="D1473" i="1"/>
  <c r="E1473" i="1"/>
  <c r="D1474" i="1"/>
  <c r="E1474" i="1"/>
  <c r="D1475" i="1"/>
  <c r="E1475" i="1"/>
  <c r="D1476" i="1"/>
  <c r="E1476" i="1"/>
  <c r="D1477" i="1"/>
  <c r="E1477" i="1"/>
  <c r="D1478" i="1"/>
  <c r="E1478" i="1"/>
  <c r="D1479" i="1"/>
  <c r="E1479" i="1"/>
  <c r="D1480" i="1"/>
  <c r="E1480" i="1"/>
  <c r="D1481" i="1"/>
  <c r="E1481" i="1"/>
  <c r="D1482" i="1"/>
  <c r="E1482" i="1"/>
  <c r="D1483" i="1"/>
  <c r="E1483" i="1"/>
  <c r="D1484" i="1"/>
  <c r="E1484" i="1"/>
  <c r="D1485" i="1"/>
  <c r="E1485" i="1"/>
  <c r="D1486" i="1"/>
  <c r="E1486" i="1"/>
  <c r="D1487" i="1"/>
  <c r="E1487" i="1"/>
  <c r="D1488" i="1"/>
  <c r="E1488" i="1"/>
  <c r="D1489" i="1"/>
  <c r="E1489" i="1"/>
  <c r="D1490" i="1"/>
  <c r="E1490" i="1"/>
  <c r="D1491" i="1"/>
  <c r="E1491" i="1"/>
  <c r="D1492" i="1"/>
  <c r="E1492" i="1"/>
  <c r="D1493" i="1"/>
  <c r="E1493" i="1"/>
  <c r="D1494" i="1"/>
  <c r="E1494" i="1"/>
  <c r="D1495" i="1"/>
  <c r="E1495" i="1"/>
  <c r="D1496" i="1"/>
  <c r="E1496" i="1"/>
  <c r="D1497" i="1"/>
  <c r="E1497" i="1"/>
  <c r="D1498" i="1"/>
  <c r="E1498" i="1"/>
  <c r="D1499" i="1"/>
  <c r="E1499" i="1"/>
  <c r="D1500" i="1"/>
  <c r="E1500" i="1"/>
  <c r="D1501" i="1"/>
  <c r="E1501" i="1"/>
  <c r="D1502" i="1"/>
  <c r="E1502" i="1"/>
  <c r="D1503" i="1"/>
  <c r="E1503" i="1"/>
  <c r="D1504" i="1"/>
  <c r="E1504" i="1"/>
  <c r="D1505" i="1"/>
  <c r="E1505" i="1"/>
  <c r="D1506" i="1"/>
  <c r="E1506" i="1"/>
  <c r="D1507" i="1"/>
  <c r="E1507" i="1"/>
  <c r="D1508" i="1"/>
  <c r="E1508" i="1"/>
  <c r="D1509" i="1"/>
  <c r="E1509" i="1"/>
  <c r="D1510" i="1"/>
  <c r="E1510" i="1"/>
  <c r="D1511" i="1"/>
  <c r="E1511" i="1"/>
  <c r="D1512" i="1"/>
  <c r="E1512" i="1"/>
  <c r="D1513" i="1"/>
  <c r="E1513" i="1"/>
  <c r="D1514" i="1"/>
  <c r="E1514" i="1"/>
  <c r="D1515" i="1"/>
  <c r="E1515" i="1"/>
  <c r="D1516" i="1"/>
  <c r="E1516" i="1"/>
  <c r="D1517" i="1"/>
  <c r="E1517" i="1"/>
  <c r="D1518" i="1"/>
  <c r="E1518" i="1"/>
  <c r="D1519" i="1"/>
  <c r="E1519" i="1"/>
  <c r="D1520" i="1"/>
  <c r="E1520" i="1"/>
  <c r="D1521" i="1"/>
  <c r="E1521" i="1"/>
  <c r="D1522" i="1"/>
  <c r="E1522" i="1"/>
  <c r="D1523" i="1"/>
  <c r="E1523" i="1"/>
  <c r="D1524" i="1"/>
  <c r="E1524" i="1"/>
  <c r="D1525" i="1"/>
  <c r="E1525" i="1"/>
  <c r="D1526" i="1"/>
  <c r="E1526" i="1"/>
  <c r="D1527" i="1"/>
  <c r="E1527" i="1"/>
  <c r="D1528" i="1"/>
  <c r="E1528" i="1"/>
  <c r="D1529" i="1"/>
  <c r="E1529" i="1"/>
  <c r="D1530" i="1"/>
  <c r="E1530" i="1"/>
  <c r="D1531" i="1"/>
  <c r="E1531" i="1"/>
  <c r="D1532" i="1"/>
  <c r="E1532" i="1"/>
  <c r="D1533" i="1"/>
  <c r="E1533" i="1"/>
  <c r="D1534" i="1"/>
  <c r="E1534" i="1"/>
  <c r="D1535" i="1"/>
  <c r="E1535" i="1"/>
  <c r="D1536" i="1"/>
  <c r="E1536" i="1"/>
  <c r="D1537" i="1"/>
  <c r="E1537" i="1"/>
  <c r="D1538" i="1"/>
  <c r="E1538" i="1"/>
  <c r="D1539" i="1"/>
  <c r="E1539" i="1"/>
  <c r="D1540" i="1"/>
  <c r="E1540" i="1"/>
  <c r="D1541" i="1"/>
  <c r="E1541" i="1"/>
  <c r="D1542" i="1"/>
  <c r="E1542" i="1"/>
  <c r="D1543" i="1"/>
  <c r="E1543" i="1"/>
  <c r="D1544" i="1"/>
  <c r="E1544" i="1"/>
  <c r="D1545" i="1"/>
  <c r="E1545" i="1"/>
  <c r="D1546" i="1"/>
  <c r="E1546" i="1"/>
  <c r="D1547" i="1"/>
  <c r="E1547" i="1"/>
  <c r="D1548" i="1"/>
  <c r="E1548" i="1"/>
  <c r="D1549" i="1"/>
  <c r="E1549" i="1"/>
  <c r="D1550" i="1"/>
  <c r="E1550" i="1"/>
  <c r="D1551" i="1"/>
  <c r="E1551" i="1"/>
  <c r="D1552" i="1"/>
  <c r="E1552" i="1"/>
  <c r="D1553" i="1"/>
  <c r="E1553" i="1"/>
  <c r="D1554" i="1"/>
  <c r="E1554" i="1"/>
  <c r="D1555" i="1"/>
  <c r="E1555" i="1"/>
  <c r="D1556" i="1"/>
  <c r="E1556" i="1"/>
  <c r="D1557" i="1"/>
  <c r="E1557" i="1"/>
  <c r="D1558" i="1"/>
  <c r="E1558" i="1"/>
  <c r="D1559" i="1"/>
  <c r="E1559" i="1"/>
  <c r="D1560" i="1"/>
  <c r="E1560" i="1"/>
  <c r="D1561" i="1"/>
  <c r="E1561" i="1"/>
  <c r="D1562" i="1"/>
  <c r="E1562" i="1"/>
  <c r="D1563" i="1"/>
  <c r="E1563" i="1"/>
  <c r="D1564" i="1"/>
  <c r="E1564" i="1"/>
  <c r="D1565" i="1"/>
  <c r="E1565" i="1"/>
  <c r="D1566" i="1"/>
  <c r="E1566" i="1"/>
  <c r="D1567" i="1"/>
  <c r="E1567" i="1"/>
  <c r="D1568" i="1"/>
  <c r="E1568" i="1"/>
  <c r="D1569" i="1"/>
  <c r="E1569" i="1"/>
  <c r="D1570" i="1"/>
  <c r="E1570" i="1"/>
  <c r="D1571" i="1"/>
  <c r="E1571" i="1"/>
  <c r="D1572" i="1"/>
  <c r="E1572" i="1"/>
  <c r="D1573" i="1"/>
  <c r="E1573" i="1"/>
  <c r="D1574" i="1"/>
  <c r="E1574" i="1"/>
  <c r="D1575" i="1"/>
  <c r="E1575" i="1"/>
  <c r="D1576" i="1"/>
  <c r="E1576" i="1"/>
  <c r="D1577" i="1"/>
  <c r="E1577" i="1"/>
  <c r="D1578" i="1"/>
  <c r="E1578" i="1"/>
  <c r="D1579" i="1"/>
  <c r="E1579" i="1"/>
  <c r="D1580" i="1"/>
  <c r="E1580" i="1"/>
  <c r="D1581" i="1"/>
  <c r="E1581" i="1"/>
  <c r="D1582" i="1"/>
  <c r="E1582" i="1"/>
  <c r="D1583" i="1"/>
  <c r="E1583" i="1"/>
  <c r="D1584" i="1"/>
  <c r="E1584" i="1"/>
  <c r="D1585" i="1"/>
  <c r="E1585" i="1"/>
  <c r="D1586" i="1"/>
  <c r="E1586" i="1"/>
  <c r="D1587" i="1"/>
  <c r="E1587" i="1"/>
  <c r="D1588" i="1"/>
  <c r="E1588" i="1"/>
  <c r="D1589" i="1"/>
  <c r="E1589" i="1"/>
  <c r="D1590" i="1"/>
  <c r="E1590" i="1"/>
  <c r="D1591" i="1"/>
  <c r="E1591" i="1"/>
  <c r="D1592" i="1"/>
  <c r="E1592" i="1"/>
  <c r="D1593" i="1"/>
  <c r="E1593" i="1"/>
  <c r="D1594" i="1"/>
  <c r="E1594" i="1"/>
  <c r="D1595" i="1"/>
  <c r="E1595" i="1"/>
  <c r="D1596" i="1"/>
  <c r="E1596" i="1"/>
  <c r="D1597" i="1"/>
  <c r="E1597" i="1"/>
  <c r="D1598" i="1"/>
  <c r="E1598" i="1"/>
  <c r="D1599" i="1"/>
  <c r="E1599" i="1"/>
  <c r="D1600" i="1"/>
  <c r="E1600" i="1"/>
  <c r="E954" i="1"/>
  <c r="E952" i="1"/>
  <c r="D952" i="1"/>
  <c r="E926" i="1"/>
  <c r="D885" i="1"/>
  <c r="D851" i="1"/>
  <c r="E838" i="1"/>
  <c r="D838" i="1"/>
  <c r="D453" i="1"/>
  <c r="E473" i="1"/>
  <c r="D833" i="1"/>
  <c r="E833" i="1"/>
  <c r="D836" i="1"/>
  <c r="D827" i="1"/>
  <c r="E827" i="1"/>
  <c r="E823" i="1"/>
  <c r="D823" i="1"/>
  <c r="D801" i="1"/>
  <c r="E795" i="1"/>
  <c r="D795" i="1"/>
  <c r="D738" i="1"/>
  <c r="D731" i="1"/>
  <c r="D729" i="1"/>
  <c r="D728" i="1"/>
  <c r="E725" i="1"/>
  <c r="E723" i="1"/>
  <c r="D723" i="1"/>
  <c r="E722" i="1"/>
  <c r="D722" i="1"/>
  <c r="E721" i="1"/>
  <c r="D721" i="1"/>
  <c r="E720" i="1"/>
  <c r="D720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D706" i="1"/>
  <c r="D697" i="1"/>
  <c r="E695" i="1"/>
  <c r="D695" i="1"/>
  <c r="E694" i="1"/>
  <c r="D694" i="1"/>
  <c r="E693" i="1"/>
  <c r="D693" i="1"/>
  <c r="D692" i="1"/>
  <c r="D685" i="1"/>
  <c r="D684" i="1"/>
  <c r="D683" i="1"/>
  <c r="D682" i="1"/>
  <c r="D681" i="1"/>
  <c r="E662" i="1"/>
  <c r="E663" i="1"/>
  <c r="D662" i="1"/>
  <c r="D661" i="1"/>
  <c r="E661" i="1"/>
  <c r="D659" i="1"/>
  <c r="D658" i="1"/>
  <c r="D657" i="1"/>
  <c r="D656" i="1"/>
  <c r="D655" i="1"/>
  <c r="D654" i="1"/>
  <c r="D653" i="1"/>
  <c r="E645" i="1"/>
  <c r="D645" i="1"/>
  <c r="E644" i="1"/>
  <c r="D644" i="1"/>
  <c r="E643" i="1"/>
  <c r="D643" i="1"/>
  <c r="E642" i="1"/>
  <c r="D642" i="1"/>
  <c r="E533" i="1"/>
  <c r="D533" i="1"/>
  <c r="D640" i="1"/>
  <c r="E626" i="1"/>
  <c r="E596" i="1"/>
  <c r="D596" i="1"/>
  <c r="E597" i="1"/>
  <c r="D597" i="1"/>
  <c r="D617" i="1"/>
  <c r="D616" i="1"/>
  <c r="D608" i="1"/>
  <c r="E599" i="1"/>
  <c r="D599" i="1"/>
  <c r="E600" i="1"/>
  <c r="D600" i="1"/>
  <c r="E590" i="1"/>
  <c r="D590" i="1"/>
  <c r="D589" i="1"/>
  <c r="E589" i="1"/>
  <c r="B229" i="1"/>
  <c r="C229" i="1"/>
  <c r="D28" i="1"/>
  <c r="D560" i="1"/>
  <c r="E542" i="1"/>
  <c r="E506" i="1"/>
  <c r="D506" i="1"/>
  <c r="D516" i="1"/>
  <c r="E516" i="1"/>
  <c r="D517" i="1"/>
  <c r="E517" i="1"/>
  <c r="D518" i="1"/>
  <c r="E518" i="1"/>
  <c r="D519" i="1"/>
  <c r="E519" i="1"/>
  <c r="D520" i="1"/>
  <c r="E520" i="1"/>
  <c r="E496" i="1"/>
  <c r="D491" i="1"/>
  <c r="D490" i="1"/>
  <c r="D484" i="1"/>
  <c r="E483" i="1"/>
  <c r="D438" i="1"/>
  <c r="E425" i="1"/>
  <c r="D425" i="1"/>
  <c r="E426" i="1"/>
  <c r="D426" i="1"/>
  <c r="E404" i="1"/>
  <c r="D404" i="1"/>
  <c r="E406" i="1"/>
  <c r="D406" i="1"/>
  <c r="D400" i="1"/>
  <c r="E381" i="1"/>
  <c r="D381" i="1"/>
  <c r="E290" i="1"/>
  <c r="D290" i="1"/>
  <c r="E264" i="1"/>
  <c r="E263" i="1"/>
  <c r="E259" i="1"/>
  <c r="E262" i="1"/>
  <c r="D252" i="1"/>
  <c r="E252" i="1"/>
  <c r="D253" i="1"/>
  <c r="E253" i="1"/>
  <c r="E243" i="1"/>
  <c r="E242" i="1"/>
  <c r="D242" i="1"/>
  <c r="E241" i="1"/>
  <c r="D241" i="1"/>
  <c r="D228" i="1"/>
  <c r="E228" i="1"/>
  <c r="E216" i="1"/>
  <c r="E211" i="1"/>
  <c r="D211" i="1"/>
  <c r="D1011" i="1"/>
  <c r="D1010" i="1"/>
  <c r="D1009" i="1"/>
  <c r="D1008" i="1"/>
  <c r="D1007" i="1"/>
  <c r="D1006" i="1"/>
  <c r="D1005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J977" i="1" s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J897" i="1" s="1"/>
  <c r="D895" i="1"/>
  <c r="D894" i="1"/>
  <c r="D893" i="1"/>
  <c r="D892" i="1"/>
  <c r="D891" i="1"/>
  <c r="D890" i="1"/>
  <c r="D889" i="1"/>
  <c r="D888" i="1"/>
  <c r="D887" i="1"/>
  <c r="D886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0" i="1"/>
  <c r="D849" i="1"/>
  <c r="D848" i="1"/>
  <c r="D847" i="1"/>
  <c r="D846" i="1"/>
  <c r="D845" i="1"/>
  <c r="D844" i="1"/>
  <c r="D843" i="1"/>
  <c r="J843" i="1" s="1"/>
  <c r="D840" i="1"/>
  <c r="D839" i="1"/>
  <c r="D837" i="1"/>
  <c r="D834" i="1"/>
  <c r="D832" i="1"/>
  <c r="D831" i="1"/>
  <c r="D830" i="1"/>
  <c r="D829" i="1"/>
  <c r="D828" i="1"/>
  <c r="D826" i="1"/>
  <c r="D825" i="1"/>
  <c r="D824" i="1"/>
  <c r="D822" i="1"/>
  <c r="J822" i="1" s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0" i="1"/>
  <c r="D799" i="1"/>
  <c r="D798" i="1"/>
  <c r="D797" i="1"/>
  <c r="D796" i="1"/>
  <c r="D794" i="1"/>
  <c r="D793" i="1"/>
  <c r="D792" i="1"/>
  <c r="D791" i="1"/>
  <c r="D790" i="1"/>
  <c r="J790" i="1" s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6" i="1"/>
  <c r="D735" i="1"/>
  <c r="D734" i="1"/>
  <c r="D733" i="1"/>
  <c r="D732" i="1"/>
  <c r="D730" i="1"/>
  <c r="D727" i="1"/>
  <c r="D726" i="1"/>
  <c r="D725" i="1"/>
  <c r="D724" i="1"/>
  <c r="D705" i="1"/>
  <c r="D704" i="1"/>
  <c r="D703" i="1"/>
  <c r="D702" i="1"/>
  <c r="D701" i="1"/>
  <c r="D700" i="1"/>
  <c r="D699" i="1"/>
  <c r="D698" i="1"/>
  <c r="D696" i="1"/>
  <c r="D691" i="1"/>
  <c r="D690" i="1"/>
  <c r="D689" i="1"/>
  <c r="D688" i="1"/>
  <c r="D687" i="1"/>
  <c r="D686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52" i="1"/>
  <c r="D651" i="1"/>
  <c r="D650" i="1"/>
  <c r="D649" i="1"/>
  <c r="D648" i="1"/>
  <c r="D647" i="1"/>
  <c r="D646" i="1"/>
  <c r="D641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5" i="1"/>
  <c r="D614" i="1"/>
  <c r="D613" i="1"/>
  <c r="D612" i="1"/>
  <c r="D611" i="1"/>
  <c r="D610" i="1"/>
  <c r="D609" i="1"/>
  <c r="D607" i="1"/>
  <c r="D606" i="1"/>
  <c r="D605" i="1"/>
  <c r="D604" i="1"/>
  <c r="D603" i="1"/>
  <c r="J603" i="1" s="1"/>
  <c r="D601" i="1"/>
  <c r="D598" i="1"/>
  <c r="D595" i="1"/>
  <c r="D594" i="1"/>
  <c r="D593" i="1"/>
  <c r="D592" i="1"/>
  <c r="D591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J536" i="1" s="1"/>
  <c r="D534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15" i="1"/>
  <c r="D514" i="1"/>
  <c r="D513" i="1"/>
  <c r="D512" i="1"/>
  <c r="D511" i="1"/>
  <c r="J511" i="1" s="1"/>
  <c r="D509" i="1"/>
  <c r="D508" i="1"/>
  <c r="D507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89" i="1"/>
  <c r="D488" i="1"/>
  <c r="D487" i="1"/>
  <c r="J487" i="1" s="1"/>
  <c r="D485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6" i="1"/>
  <c r="D435" i="1"/>
  <c r="D434" i="1"/>
  <c r="D433" i="1"/>
  <c r="D432" i="1"/>
  <c r="D431" i="1"/>
  <c r="D430" i="1"/>
  <c r="D429" i="1"/>
  <c r="D428" i="1"/>
  <c r="D427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3" i="1"/>
  <c r="D408" i="1"/>
  <c r="D407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J350" i="1" s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J312" i="1" s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0" i="1"/>
  <c r="D249" i="1"/>
  <c r="D248" i="1"/>
  <c r="D247" i="1"/>
  <c r="D246" i="1"/>
  <c r="D245" i="1"/>
  <c r="D244" i="1"/>
  <c r="D240" i="1"/>
  <c r="D239" i="1"/>
  <c r="D238" i="1"/>
  <c r="D237" i="1"/>
  <c r="D236" i="1"/>
  <c r="D235" i="1"/>
  <c r="D234" i="1"/>
  <c r="D233" i="1"/>
  <c r="D232" i="1"/>
  <c r="D231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199" i="1"/>
  <c r="D200" i="1"/>
  <c r="D201" i="1"/>
  <c r="D202" i="1"/>
  <c r="D203" i="1"/>
  <c r="D204" i="1"/>
  <c r="D205" i="1"/>
  <c r="D206" i="1"/>
  <c r="D207" i="1"/>
  <c r="D208" i="1"/>
  <c r="D209" i="1"/>
  <c r="D212" i="1"/>
  <c r="D213" i="1"/>
  <c r="D214" i="1"/>
  <c r="E150" i="1"/>
  <c r="E151" i="1"/>
  <c r="D150" i="1"/>
  <c r="D92" i="1"/>
  <c r="E92" i="1"/>
  <c r="D91" i="1"/>
  <c r="E91" i="1"/>
  <c r="D81" i="1"/>
  <c r="E79" i="1"/>
  <c r="D79" i="1"/>
  <c r="E78" i="1"/>
  <c r="D78" i="1"/>
  <c r="E76" i="1"/>
  <c r="D76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7" i="1"/>
  <c r="E80" i="1"/>
  <c r="E81" i="1"/>
  <c r="E82" i="1"/>
  <c r="E83" i="1"/>
  <c r="E84" i="1"/>
  <c r="E85" i="1"/>
  <c r="E86" i="1"/>
  <c r="E87" i="1"/>
  <c r="E88" i="1"/>
  <c r="E89" i="1"/>
  <c r="E90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4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7" i="1"/>
  <c r="D80" i="1"/>
  <c r="D82" i="1"/>
  <c r="D83" i="1"/>
  <c r="D84" i="1"/>
  <c r="D85" i="1"/>
  <c r="D86" i="1"/>
  <c r="D87" i="1"/>
  <c r="D88" i="1"/>
  <c r="D89" i="1"/>
  <c r="D90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4" i="1"/>
  <c r="D5" i="1"/>
  <c r="D6" i="1"/>
  <c r="D7" i="1"/>
  <c r="D8" i="1"/>
  <c r="D9" i="1"/>
  <c r="D10" i="1"/>
  <c r="D11" i="1"/>
  <c r="D12" i="1"/>
  <c r="D13" i="1"/>
  <c r="D14" i="1"/>
  <c r="D75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5" i="1"/>
  <c r="D46" i="1"/>
  <c r="D47" i="1"/>
  <c r="D48" i="1"/>
  <c r="D49" i="1"/>
  <c r="D50" i="1"/>
  <c r="D51" i="1"/>
  <c r="D52" i="1"/>
  <c r="D53" i="1"/>
  <c r="D54" i="1"/>
  <c r="D55" i="1"/>
  <c r="D3" i="1"/>
  <c r="D2" i="1"/>
  <c r="J2" i="1" s="1"/>
  <c r="E2" i="1"/>
  <c r="E1011" i="1"/>
  <c r="E1010" i="1"/>
  <c r="E1009" i="1"/>
  <c r="E1008" i="1"/>
  <c r="E1007" i="1"/>
  <c r="E1006" i="1"/>
  <c r="E1005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3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0" i="1"/>
  <c r="E839" i="1"/>
  <c r="E837" i="1"/>
  <c r="E836" i="1"/>
  <c r="E834" i="1"/>
  <c r="E832" i="1"/>
  <c r="E831" i="1"/>
  <c r="E830" i="1"/>
  <c r="E829" i="1"/>
  <c r="E828" i="1"/>
  <c r="E826" i="1"/>
  <c r="E825" i="1"/>
  <c r="E824" i="1"/>
  <c r="E822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4" i="1"/>
  <c r="E793" i="1"/>
  <c r="E792" i="1"/>
  <c r="E791" i="1"/>
  <c r="E790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6" i="1"/>
  <c r="E735" i="1"/>
  <c r="E734" i="1"/>
  <c r="E733" i="1"/>
  <c r="E732" i="1"/>
  <c r="E731" i="1"/>
  <c r="E730" i="1"/>
  <c r="E729" i="1"/>
  <c r="E728" i="1"/>
  <c r="E727" i="1"/>
  <c r="E726" i="1"/>
  <c r="E724" i="1"/>
  <c r="E706" i="1"/>
  <c r="E705" i="1"/>
  <c r="E704" i="1"/>
  <c r="E703" i="1"/>
  <c r="E702" i="1"/>
  <c r="E701" i="1"/>
  <c r="E700" i="1"/>
  <c r="E699" i="1"/>
  <c r="E698" i="1"/>
  <c r="E697" i="1"/>
  <c r="E696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1" i="1"/>
  <c r="E598" i="1"/>
  <c r="E595" i="1"/>
  <c r="E594" i="1"/>
  <c r="E593" i="1"/>
  <c r="E592" i="1"/>
  <c r="E591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1" i="1"/>
  <c r="E540" i="1"/>
  <c r="E539" i="1"/>
  <c r="E538" i="1"/>
  <c r="E537" i="1"/>
  <c r="E536" i="1"/>
  <c r="E534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15" i="1"/>
  <c r="E514" i="1"/>
  <c r="E513" i="1"/>
  <c r="E512" i="1"/>
  <c r="E511" i="1"/>
  <c r="E509" i="1"/>
  <c r="E508" i="1"/>
  <c r="E507" i="1"/>
  <c r="E505" i="1"/>
  <c r="E504" i="1"/>
  <c r="E503" i="1"/>
  <c r="E502" i="1"/>
  <c r="E501" i="1"/>
  <c r="E500" i="1"/>
  <c r="E499" i="1"/>
  <c r="E498" i="1"/>
  <c r="E497" i="1"/>
  <c r="E495" i="1"/>
  <c r="E494" i="1"/>
  <c r="E493" i="1"/>
  <c r="E492" i="1"/>
  <c r="E491" i="1"/>
  <c r="E490" i="1"/>
  <c r="E489" i="1"/>
  <c r="E488" i="1"/>
  <c r="E487" i="1"/>
  <c r="E485" i="1"/>
  <c r="E484" i="1"/>
  <c r="E482" i="1"/>
  <c r="E481" i="1"/>
  <c r="E480" i="1"/>
  <c r="E479" i="1"/>
  <c r="E478" i="1"/>
  <c r="E477" i="1"/>
  <c r="E476" i="1"/>
  <c r="E475" i="1"/>
  <c r="E474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6" i="1"/>
  <c r="E435" i="1"/>
  <c r="E434" i="1"/>
  <c r="E433" i="1"/>
  <c r="E432" i="1"/>
  <c r="E431" i="1"/>
  <c r="E430" i="1"/>
  <c r="E429" i="1"/>
  <c r="E428" i="1"/>
  <c r="E427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3" i="1"/>
  <c r="E405" i="1"/>
  <c r="E408" i="1"/>
  <c r="E407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1" i="1"/>
  <c r="E260" i="1"/>
  <c r="E258" i="1"/>
  <c r="E257" i="1"/>
  <c r="E256" i="1"/>
  <c r="E255" i="1"/>
  <c r="E254" i="1"/>
  <c r="E250" i="1"/>
  <c r="E249" i="1"/>
  <c r="E248" i="1"/>
  <c r="E247" i="1"/>
  <c r="E246" i="1"/>
  <c r="E245" i="1"/>
  <c r="E244" i="1"/>
  <c r="E240" i="1"/>
  <c r="E239" i="1"/>
  <c r="E238" i="1"/>
  <c r="E237" i="1"/>
  <c r="E236" i="1"/>
  <c r="E235" i="1"/>
  <c r="E234" i="1"/>
  <c r="E233" i="1"/>
  <c r="E232" i="1"/>
  <c r="E231" i="1"/>
  <c r="E227" i="1"/>
  <c r="E226" i="1"/>
  <c r="E225" i="1"/>
  <c r="E224" i="1"/>
  <c r="E223" i="1"/>
  <c r="E222" i="1"/>
  <c r="E221" i="1"/>
  <c r="E220" i="1"/>
  <c r="E219" i="1"/>
  <c r="E218" i="1"/>
  <c r="E217" i="1"/>
  <c r="E215" i="1"/>
  <c r="E214" i="1"/>
  <c r="E213" i="1"/>
  <c r="E212" i="1"/>
  <c r="E209" i="1"/>
  <c r="E208" i="1"/>
  <c r="E207" i="1"/>
  <c r="E206" i="1"/>
  <c r="E205" i="1"/>
  <c r="E204" i="1"/>
  <c r="E203" i="1"/>
  <c r="E202" i="1"/>
  <c r="E201" i="1"/>
  <c r="E200" i="1"/>
  <c r="E199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75" i="1"/>
  <c r="E14" i="1"/>
  <c r="E13" i="1"/>
  <c r="E12" i="1"/>
  <c r="E11" i="1"/>
  <c r="E10" i="1"/>
  <c r="E9" i="1"/>
  <c r="E8" i="1"/>
  <c r="E7" i="1"/>
  <c r="E6" i="1"/>
  <c r="E5" i="1"/>
  <c r="E4" i="1"/>
  <c r="E3" i="1"/>
  <c r="J836" i="1" l="1"/>
  <c r="J403" i="1"/>
  <c r="J738" i="1"/>
  <c r="J720" i="1"/>
  <c r="J661" i="1"/>
  <c r="J231" i="1"/>
  <c r="D229" i="1"/>
  <c r="J167" i="1"/>
  <c r="J438" i="1"/>
  <c r="J381" i="1"/>
  <c r="J45" i="1"/>
  <c r="J131" i="1"/>
  <c r="J211" i="1"/>
  <c r="J252" i="1"/>
  <c r="J29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tc={09B26652-3D05-4427-A667-B326508BCA0E}</author>
  </authors>
  <commentList>
    <comment ref="A939" authorId="0" shapeId="0" xr:uid="{09B26652-3D05-4427-A667-B326508BCA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presupuesto oficial sin controlar creado por servicios, basado en costello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FB3D9D-9B67-48F5-91FA-FAF0F97175C6}" sourceFile="\\10.10.3.35\Suministros\comparativa de precios.xlsx" keepAlive="1" name="comparativa de precios" type="5" refreshedVersion="8" background="1">
    <dbPr connection="Provider=Microsoft.ACE.OLEDB.12.0;User ID=Admin;Data Source=\\10.10.3.35\Suministros\comparativa de precios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base de dato$'" commandType="3"/>
  </connection>
  <connection id="2" xr16:uid="{FBBDB144-CCEA-44D7-A58E-4CF026367288}" name="WorksheetConnection_[comparativa de precios.xlsx]base de dato!$A$1:$I$998" type="102" refreshedVersion="8" minRefreshableVersion="5">
    <extLst>
      <ext xmlns:x15="http://schemas.microsoft.com/office/spreadsheetml/2010/11/main" uri="{DE250136-89BD-433C-8126-D09CA5730AF9}">
        <x15:connection id="Rango-1626425b-a86a-410a-afb6-c6cd1ae12c94" autoDelete="1">
          <x15:rangePr sourceName="_xlcn.WorksheetConnection_comparativadeprecios.xlsxbasededatoA1I9981"/>
        </x15:connection>
      </ext>
    </extLst>
  </connection>
</connections>
</file>

<file path=xl/sharedStrings.xml><?xml version="1.0" encoding="utf-8"?>
<sst xmlns="http://schemas.openxmlformats.org/spreadsheetml/2006/main" count="4995" uniqueCount="1588">
  <si>
    <t>Proveedores</t>
  </si>
  <si>
    <t xml:space="preserve">Precio Inicial </t>
  </si>
  <si>
    <t>Precio Final</t>
  </si>
  <si>
    <t>Saldo de diferencia</t>
  </si>
  <si>
    <t>Diferencia</t>
  </si>
  <si>
    <t>Detalle</t>
  </si>
  <si>
    <t>fecha</t>
  </si>
  <si>
    <t>secretaria</t>
  </si>
  <si>
    <t>Dir. o Sub. Sec.</t>
  </si>
  <si>
    <t>Total de diferencia</t>
  </si>
  <si>
    <t>vuelta marcelo</t>
  </si>
  <si>
    <t>articulo de limpieza</t>
  </si>
  <si>
    <t>febrero</t>
  </si>
  <si>
    <t>sec. General</t>
  </si>
  <si>
    <t>katarzynski lucas</t>
  </si>
  <si>
    <t>insumos de jardineria</t>
  </si>
  <si>
    <t>serv. Integrales de ache</t>
  </si>
  <si>
    <t>serv. De mantenimiento</t>
  </si>
  <si>
    <t>fabian julio / ache</t>
  </si>
  <si>
    <t>prov. De aire acondicionado</t>
  </si>
  <si>
    <t>privada</t>
  </si>
  <si>
    <t>edificio</t>
  </si>
  <si>
    <t xml:space="preserve">pda </t>
  </si>
  <si>
    <t>insumos de ferreteria</t>
  </si>
  <si>
    <t>sturtz gladys</t>
  </si>
  <si>
    <t>insumos de pintureria</t>
  </si>
  <si>
    <t>cristales mitre s.a.</t>
  </si>
  <si>
    <t>repuesto</t>
  </si>
  <si>
    <t>sub. Ener. Alter. y Recic.</t>
  </si>
  <si>
    <t>iurisci alejandro</t>
  </si>
  <si>
    <t>gobierno</t>
  </si>
  <si>
    <t>educacion</t>
  </si>
  <si>
    <t>quintero gabriel</t>
  </si>
  <si>
    <t>insumos de librería</t>
  </si>
  <si>
    <t>veron marcelo</t>
  </si>
  <si>
    <t>insumos de computacion</t>
  </si>
  <si>
    <t xml:space="preserve">buitencamp patricia </t>
  </si>
  <si>
    <t>sellos</t>
  </si>
  <si>
    <t>salud</t>
  </si>
  <si>
    <t>arce eber</t>
  </si>
  <si>
    <t>insumos de mantenimiento</t>
  </si>
  <si>
    <t xml:space="preserve">termotanque y horno electrico </t>
  </si>
  <si>
    <t>hcd</t>
  </si>
  <si>
    <t>ventilador</t>
  </si>
  <si>
    <t>emprendimientos mall s.a.</t>
  </si>
  <si>
    <t>ropa de trabajo</t>
  </si>
  <si>
    <t>dir. De inspecciones</t>
  </si>
  <si>
    <t xml:space="preserve">munguia rosana </t>
  </si>
  <si>
    <t xml:space="preserve">tornillos, bajomesada y asiento </t>
  </si>
  <si>
    <t>sub. De seguridad</t>
  </si>
  <si>
    <t>schwartz diego</t>
  </si>
  <si>
    <t>insumos de peluqueria</t>
  </si>
  <si>
    <t>sub. De educacion</t>
  </si>
  <si>
    <t>insumos de costureria</t>
  </si>
  <si>
    <t>insumos de maquillaje</t>
  </si>
  <si>
    <t>impresora multifuncion</t>
  </si>
  <si>
    <t>insumos informaticos</t>
  </si>
  <si>
    <t>carrillo</t>
  </si>
  <si>
    <t>prov. De repuesto</t>
  </si>
  <si>
    <t>katarzysnki lucas</t>
  </si>
  <si>
    <t>prov. De motosierras</t>
  </si>
  <si>
    <t xml:space="preserve">faytim </t>
  </si>
  <si>
    <t>kit de embrague completo</t>
  </si>
  <si>
    <t>sec. general</t>
  </si>
  <si>
    <t>dir. De seguridad</t>
  </si>
  <si>
    <t>garcia diego</t>
  </si>
  <si>
    <t>fumigacion</t>
  </si>
  <si>
    <t>sub. De deportes</t>
  </si>
  <si>
    <t>fumytan</t>
  </si>
  <si>
    <t xml:space="preserve">urquiza diego </t>
  </si>
  <si>
    <t>mantenimiento de piletas</t>
  </si>
  <si>
    <t xml:space="preserve">mesada </t>
  </si>
  <si>
    <t>MARZO                                                                                MARZO</t>
  </si>
  <si>
    <t>marzo</t>
  </si>
  <si>
    <t>dir. gral de seguridad</t>
  </si>
  <si>
    <t>veron julio marcelo</t>
  </si>
  <si>
    <t xml:space="preserve">lockers metalicos </t>
  </si>
  <si>
    <t>same</t>
  </si>
  <si>
    <t xml:space="preserve">fiberco </t>
  </si>
  <si>
    <t xml:space="preserve">linea y tendido de cable optico </t>
  </si>
  <si>
    <t>rc redes</t>
  </si>
  <si>
    <t xml:space="preserve">grupo electrogeno </t>
  </si>
  <si>
    <t xml:space="preserve">rumbo maq </t>
  </si>
  <si>
    <t>deltametrina</t>
  </si>
  <si>
    <t>dir. de cementerio</t>
  </si>
  <si>
    <t>carlini javier</t>
  </si>
  <si>
    <t xml:space="preserve">puerta placa </t>
  </si>
  <si>
    <t xml:space="preserve">brandan pablo </t>
  </si>
  <si>
    <t>chalecos reflectivos</t>
  </si>
  <si>
    <t xml:space="preserve">gobierno </t>
  </si>
  <si>
    <t>protec. ciudadana</t>
  </si>
  <si>
    <t xml:space="preserve">fabian julio hugo </t>
  </si>
  <si>
    <t>mantenimiento de aire acondicionado</t>
  </si>
  <si>
    <t>centro de monitoreo</t>
  </si>
  <si>
    <t>repuestos maquinaria</t>
  </si>
  <si>
    <t xml:space="preserve">hierro todo </t>
  </si>
  <si>
    <t>chapas</t>
  </si>
  <si>
    <t>quinteros juan gabriel</t>
  </si>
  <si>
    <t>libreria</t>
  </si>
  <si>
    <t>freire anibal</t>
  </si>
  <si>
    <t>esmalte, latex, pincel, etc.</t>
  </si>
  <si>
    <t xml:space="preserve">cementerio </t>
  </si>
  <si>
    <t xml:space="preserve">ward wilmar pablo </t>
  </si>
  <si>
    <t>herramientas y kit de jardineria</t>
  </si>
  <si>
    <t>sec. geral</t>
  </si>
  <si>
    <t>buitencamp</t>
  </si>
  <si>
    <t>gazebos</t>
  </si>
  <si>
    <t>medio ambiente</t>
  </si>
  <si>
    <t>pop construcciones</t>
  </si>
  <si>
    <t>ploteo vehicular</t>
  </si>
  <si>
    <t>industria</t>
  </si>
  <si>
    <t>sillon ejecutivo</t>
  </si>
  <si>
    <t>quinteros juan carlos</t>
  </si>
  <si>
    <t xml:space="preserve">cartuchos brother </t>
  </si>
  <si>
    <t>caños y chapa</t>
  </si>
  <si>
    <t xml:space="preserve">techno suppply </t>
  </si>
  <si>
    <t>mantenimineto respiradores</t>
  </si>
  <si>
    <t>varios</t>
  </si>
  <si>
    <t>imagenes pilar</t>
  </si>
  <si>
    <t>inusmos medicos</t>
  </si>
  <si>
    <t>lacroix miguel</t>
  </si>
  <si>
    <t>kit extractor de leche materna</t>
  </si>
  <si>
    <t>extractor de leche materna</t>
  </si>
  <si>
    <t>amoladora, generador, martillo elec. etc</t>
  </si>
  <si>
    <t>obras</t>
  </si>
  <si>
    <t xml:space="preserve">ucci </t>
  </si>
  <si>
    <t>productos de limpieza</t>
  </si>
  <si>
    <t>dir. de centro de monitorieo</t>
  </si>
  <si>
    <t>sturz galdys</t>
  </si>
  <si>
    <t>pintureria</t>
  </si>
  <si>
    <t xml:space="preserve">rodriguez eduardo </t>
  </si>
  <si>
    <t>bobinas pouch</t>
  </si>
  <si>
    <t>brink verde en bobina</t>
  </si>
  <si>
    <t>sabanas confeccionadas</t>
  </si>
  <si>
    <t>cintas testigo, test pack, ind biol</t>
  </si>
  <si>
    <t>techno supply</t>
  </si>
  <si>
    <t>reparacion de equipo de quirofano</t>
  </si>
  <si>
    <t>veron julieta</t>
  </si>
  <si>
    <t>alquiler de pantalla y sonido</t>
  </si>
  <si>
    <t>chapas cincalum n°27 x unidad</t>
  </si>
  <si>
    <t>dedalus</t>
  </si>
  <si>
    <t>servicio de mantenimiento</t>
  </si>
  <si>
    <t>hernan gabriel ramon</t>
  </si>
  <si>
    <t>mantenimineto odontologicos</t>
  </si>
  <si>
    <t>catalini analia(vital life)</t>
  </si>
  <si>
    <t>guia de bombas de infusion, jeringas, etc</t>
  </si>
  <si>
    <t>aceite y cadenas</t>
  </si>
  <si>
    <t>dir. defensa civil</t>
  </si>
  <si>
    <t>cristales mitre</t>
  </si>
  <si>
    <t>reparaciones de movil N°044 ID N°21181</t>
  </si>
  <si>
    <t>dir. de redes</t>
  </si>
  <si>
    <t>suppa / ato group</t>
  </si>
  <si>
    <t>art. de bazar apertura jardin 931</t>
  </si>
  <si>
    <t>presupuesto oficial</t>
  </si>
  <si>
    <t>repuestos para moviles</t>
  </si>
  <si>
    <t>dir. taller y pañol</t>
  </si>
  <si>
    <t>kit tensor rodillo y correa int 182</t>
  </si>
  <si>
    <t>tensor, correa y kit rotor, bobina, regulador int 93</t>
  </si>
  <si>
    <t>tensor, correa y kit rotor, bobina, regulador int 228</t>
  </si>
  <si>
    <t>juego de amortiguadores, espejo, kit campana, cintas de freno, juego de cilindros de freno, kit de clavos y sortes p/regulador int 94</t>
  </si>
  <si>
    <t>marano miguel</t>
  </si>
  <si>
    <t>filtro hidraulico legitimo int 51</t>
  </si>
  <si>
    <t>fiberco</t>
  </si>
  <si>
    <t xml:space="preserve">vinculo fo polo sanitario </t>
  </si>
  <si>
    <t>sec. hacienda</t>
  </si>
  <si>
    <t>dir. informatica</t>
  </si>
  <si>
    <t>vinculo fo posta policial las acacias y remedios de escalada de san martin</t>
  </si>
  <si>
    <t>dir. de informatica</t>
  </si>
  <si>
    <t>vinculo fo gendarmeria</t>
  </si>
  <si>
    <t>vinculo fo logistica batallon</t>
  </si>
  <si>
    <t>veron / costa claudio</t>
  </si>
  <si>
    <t>inauguracion jardin 931</t>
  </si>
  <si>
    <t>vital life</t>
  </si>
  <si>
    <t xml:space="preserve">insumos medicos </t>
  </si>
  <si>
    <t>pda</t>
  </si>
  <si>
    <t>cepillo lavado, disco de arrastre, paño 20", kit secador</t>
  </si>
  <si>
    <t>martin jazahal</t>
  </si>
  <si>
    <t>inudmentaria</t>
  </si>
  <si>
    <t>sub. des. urb.</t>
  </si>
  <si>
    <t>carpetas oficio blancas con logo municipal</t>
  </si>
  <si>
    <t>dir. gral. coord. y progamas y ong</t>
  </si>
  <si>
    <t>quinteros</t>
  </si>
  <si>
    <t xml:space="preserve">licitacion publica libreria </t>
  </si>
  <si>
    <t>veneno para fumigacion</t>
  </si>
  <si>
    <t>rpm</t>
  </si>
  <si>
    <t>reparacion compresor camion ford</t>
  </si>
  <si>
    <t>munguia</t>
  </si>
  <si>
    <t>gabinete metalica, termica, disyuntor, cable canal, etc</t>
  </si>
  <si>
    <t>planta dosificadora de hormigon</t>
  </si>
  <si>
    <t>pintura, lijas, rodillos, etc.</t>
  </si>
  <si>
    <t>kit embrague</t>
  </si>
  <si>
    <t>dir. de logistica</t>
  </si>
  <si>
    <t xml:space="preserve">reparacion de luces, cerradura y forzador </t>
  </si>
  <si>
    <t>reparacion sistema electrico</t>
  </si>
  <si>
    <t>reparacion de cañerias</t>
  </si>
  <si>
    <t>reparacion caño de baja y manguera</t>
  </si>
  <si>
    <t xml:space="preserve">reparacion forzador </t>
  </si>
  <si>
    <t>reparacion kit de embrague</t>
  </si>
  <si>
    <t xml:space="preserve">repuestos para interno 212 </t>
  </si>
  <si>
    <t>dir. de taller y pañol</t>
  </si>
  <si>
    <t>amoladora, taladro, llave de impacto, etc</t>
  </si>
  <si>
    <t xml:space="preserve">reparacion cilindro vibrador </t>
  </si>
  <si>
    <t>dir. de premoldeados</t>
  </si>
  <si>
    <t>rollos de membrana</t>
  </si>
  <si>
    <t>gutierrez andrea soledad</t>
  </si>
  <si>
    <t xml:space="preserve">filtros de aceite </t>
  </si>
  <si>
    <t xml:space="preserve">rectificacion dene </t>
  </si>
  <si>
    <t>reparacion valvula reguladora int 342</t>
  </si>
  <si>
    <t>reparacion carcaza de dsitribucion de motor int 166</t>
  </si>
  <si>
    <t>chirugia</t>
  </si>
  <si>
    <t xml:space="preserve">alquiler equipo aspirador ultrasonico </t>
  </si>
  <si>
    <t>auditech</t>
  </si>
  <si>
    <t>reparacion UPS datacenter municipal</t>
  </si>
  <si>
    <t>rotela diego</t>
  </si>
  <si>
    <t>reparaicon bomba de agua int 233</t>
  </si>
  <si>
    <t>reparacion hidroelevador bl10 int 15</t>
  </si>
  <si>
    <t>respuestos de direccion int 210</t>
  </si>
  <si>
    <t>respuestos de direccion int 230</t>
  </si>
  <si>
    <t>opticas, fusibles, lamparas int 284</t>
  </si>
  <si>
    <t>bieletas, amortiguadores y brazo extremo int 120</t>
  </si>
  <si>
    <t>ABRIL                                                                                ABRIL</t>
  </si>
  <si>
    <t>bomba sumergible, materiales y mano de obra</t>
  </si>
  <si>
    <t>abril</t>
  </si>
  <si>
    <t>sub. de deportes</t>
  </si>
  <si>
    <t>veron</t>
  </si>
  <si>
    <t>switch 48 puerto TP-Link</t>
  </si>
  <si>
    <t>materiales didacticos cdi</t>
  </si>
  <si>
    <t>subse. de educacion</t>
  </si>
  <si>
    <t>nuñez natalia</t>
  </si>
  <si>
    <t>subse. de servicios</t>
  </si>
  <si>
    <t>repuestos int 94</t>
  </si>
  <si>
    <t>hierro todo</t>
  </si>
  <si>
    <t>chapa cincalum nº 27 canaleta x 5,18 mts.</t>
  </si>
  <si>
    <t xml:space="preserve">   </t>
  </si>
  <si>
    <t>hacienda</t>
  </si>
  <si>
    <t>reparacion y respuestos int 31</t>
  </si>
  <si>
    <t>dir. general</t>
  </si>
  <si>
    <t>tabique divisorio</t>
  </si>
  <si>
    <t>dir. de juventud</t>
  </si>
  <si>
    <t>mangini ulises</t>
  </si>
  <si>
    <t xml:space="preserve">fumigacion plantas de tratamineto </t>
  </si>
  <si>
    <t>sec. obras</t>
  </si>
  <si>
    <t>dir. de obras</t>
  </si>
  <si>
    <t>plafon, canilla, fichas y lampara</t>
  </si>
  <si>
    <t>reparacion compresor int 98</t>
  </si>
  <si>
    <t xml:space="preserve">reparacion de moviles </t>
  </si>
  <si>
    <t xml:space="preserve">Log vehicular </t>
  </si>
  <si>
    <t>universo dep</t>
  </si>
  <si>
    <t xml:space="preserve">medallas </t>
  </si>
  <si>
    <t xml:space="preserve">subs de deportes </t>
  </si>
  <si>
    <t xml:space="preserve">Mecanica Leo Llanos </t>
  </si>
  <si>
    <t xml:space="preserve">MdeO reparaciones de moviles </t>
  </si>
  <si>
    <t>juan gabriel</t>
  </si>
  <si>
    <t>insumos de libreria CDI Sordeuax y GB</t>
  </si>
  <si>
    <t>dir. parques y jardines</t>
  </si>
  <si>
    <t>microfonos, cables y pie</t>
  </si>
  <si>
    <t>desarrollo cultural</t>
  </si>
  <si>
    <t xml:space="preserve">papelandia </t>
  </si>
  <si>
    <t>Reparaciones Ford F-4000 Int 111</t>
  </si>
  <si>
    <t xml:space="preserve">dir taller y pañol </t>
  </si>
  <si>
    <t>ibarra luis ramon</t>
  </si>
  <si>
    <t>reparacion int 447</t>
  </si>
  <si>
    <t>dir. proteccion ciudadana</t>
  </si>
  <si>
    <t>reparacion int 421</t>
  </si>
  <si>
    <t>repuestos y mano de obra int 180</t>
  </si>
  <si>
    <t>pc y monitor</t>
  </si>
  <si>
    <t xml:space="preserve">sosa Ezequiel </t>
  </si>
  <si>
    <t xml:space="preserve">mat para reparaciones en instalacion sanitaria </t>
  </si>
  <si>
    <t xml:space="preserve">obras </t>
  </si>
  <si>
    <t xml:space="preserve">obrador municipal </t>
  </si>
  <si>
    <t>RC Redes</t>
  </si>
  <si>
    <t xml:space="preserve">instalacion electrica en edificio de gendarmeria </t>
  </si>
  <si>
    <t>schwartz</t>
  </si>
  <si>
    <t xml:space="preserve">kits de sommelier </t>
  </si>
  <si>
    <t xml:space="preserve">Subs de Educacion </t>
  </si>
  <si>
    <t xml:space="preserve">reparacion PC CDI </t>
  </si>
  <si>
    <t xml:space="preserve">insumos de plomeria </t>
  </si>
  <si>
    <t>faytim</t>
  </si>
  <si>
    <t>repuestos int 140</t>
  </si>
  <si>
    <t>repuesto y mano de obra int 109</t>
  </si>
  <si>
    <t>dir. de seguridad</t>
  </si>
  <si>
    <t>repuesto y mano de obra int 108</t>
  </si>
  <si>
    <t>materiales para instalacion cloacal</t>
  </si>
  <si>
    <t>rumbomaq</t>
  </si>
  <si>
    <t>materiales durios</t>
  </si>
  <si>
    <t xml:space="preserve">carlini </t>
  </si>
  <si>
    <t>freno hidraulico puerta principal</t>
  </si>
  <si>
    <t>Htal. Oftalmologico</t>
  </si>
  <si>
    <t xml:space="preserve"> MAYO                                                                                             MAYO</t>
  </si>
  <si>
    <t xml:space="preserve">Insumos de computacion </t>
  </si>
  <si>
    <t>mayo</t>
  </si>
  <si>
    <t xml:space="preserve">Dir de Garantias </t>
  </si>
  <si>
    <t xml:space="preserve">il vero oriente </t>
  </si>
  <si>
    <t>inusmos cafeteria</t>
  </si>
  <si>
    <t>HCD</t>
  </si>
  <si>
    <t xml:space="preserve">Oscherov j </t>
  </si>
  <si>
    <t xml:space="preserve">Pantalones de trabajo </t>
  </si>
  <si>
    <t>sec. industria</t>
  </si>
  <si>
    <t xml:space="preserve">Subs de energias alternativas </t>
  </si>
  <si>
    <t>jazhal</t>
  </si>
  <si>
    <t xml:space="preserve">indumentaria bromatologia </t>
  </si>
  <si>
    <t>bromatologia</t>
  </si>
  <si>
    <t>scasso</t>
  </si>
  <si>
    <t>evento plaza mailin</t>
  </si>
  <si>
    <t>cultura</t>
  </si>
  <si>
    <t>reparacion int 44</t>
  </si>
  <si>
    <t>critales mitre</t>
  </si>
  <si>
    <t>reparacion int 05</t>
  </si>
  <si>
    <t>juan ignacio frutos</t>
  </si>
  <si>
    <t>reparacion int 375</t>
  </si>
  <si>
    <t>seguridad</t>
  </si>
  <si>
    <t>reparacion int 374</t>
  </si>
  <si>
    <t xml:space="preserve">techno supply </t>
  </si>
  <si>
    <t>remmplazo tendido red de gases</t>
  </si>
  <si>
    <t>reacondicionamiento sala de maquinas</t>
  </si>
  <si>
    <t>drozdowski</t>
  </si>
  <si>
    <t>Mantenimiento planta de hormigon ID 75040</t>
  </si>
  <si>
    <t>taller y pañol</t>
  </si>
  <si>
    <t>grafica ramli</t>
  </si>
  <si>
    <t>ploteo int 441</t>
  </si>
  <si>
    <t>juventud</t>
  </si>
  <si>
    <t>ecociudad</t>
  </si>
  <si>
    <t>contenedores evento mailin</t>
  </si>
  <si>
    <t>wilmar ward</t>
  </si>
  <si>
    <t xml:space="preserve">Elementos de jardineria </t>
  </si>
  <si>
    <t xml:space="preserve">sec. general </t>
  </si>
  <si>
    <t>reparacion int 219</t>
  </si>
  <si>
    <t>taladro y generador</t>
  </si>
  <si>
    <t xml:space="preserve">Ato group </t>
  </si>
  <si>
    <t xml:space="preserve">Transito y translado de equinos </t>
  </si>
  <si>
    <t xml:space="preserve">sec.general </t>
  </si>
  <si>
    <t xml:space="preserve">Subs de Ambiente y Desarrollo Sostenible </t>
  </si>
  <si>
    <t xml:space="preserve">juan carlos </t>
  </si>
  <si>
    <t>Tonners</t>
  </si>
  <si>
    <t xml:space="preserve">industria </t>
  </si>
  <si>
    <t xml:space="preserve">Subs transito y bromatologia </t>
  </si>
  <si>
    <t>buitencam</t>
  </si>
  <si>
    <t xml:space="preserve">Talonarios </t>
  </si>
  <si>
    <t xml:space="preserve">sec. industria </t>
  </si>
  <si>
    <t xml:space="preserve">Hierro todo </t>
  </si>
  <si>
    <t xml:space="preserve">chapas para señalizacion </t>
  </si>
  <si>
    <t>dir derechos humanos</t>
  </si>
  <si>
    <t>bleu automotores</t>
  </si>
  <si>
    <t>repuestos patente af920nt</t>
  </si>
  <si>
    <t>repuestos patente af679ug</t>
  </si>
  <si>
    <t>reparacion movil ad627ys</t>
  </si>
  <si>
    <t xml:space="preserve">Ato Group </t>
  </si>
  <si>
    <t xml:space="preserve">Lavarropas </t>
  </si>
  <si>
    <t xml:space="preserve">Gobierno </t>
  </si>
  <si>
    <t>Subs. de la Mujer, Niñes y Adol.</t>
  </si>
  <si>
    <t xml:space="preserve">sosa esteban </t>
  </si>
  <si>
    <t xml:space="preserve">arboles citricos </t>
  </si>
  <si>
    <t xml:space="preserve">Sec general </t>
  </si>
  <si>
    <t xml:space="preserve">Dir general de sust. ecologica </t>
  </si>
  <si>
    <t>pesse elizabeth</t>
  </si>
  <si>
    <t>mantenimiento anual htal. polo</t>
  </si>
  <si>
    <t>htal polo sanitario</t>
  </si>
  <si>
    <t xml:space="preserve">mantenimiento anual htal. carrillo </t>
  </si>
  <si>
    <t>htal carillo</t>
  </si>
  <si>
    <t>extintor nuevo abc x 5kg</t>
  </si>
  <si>
    <t>complejo hospitalario trauma</t>
  </si>
  <si>
    <t>schswartz diego</t>
  </si>
  <si>
    <t xml:space="preserve">curso de barberia </t>
  </si>
  <si>
    <t>panamerican vial</t>
  </si>
  <si>
    <t>reparacion int 136</t>
  </si>
  <si>
    <t>sec. gral</t>
  </si>
  <si>
    <t xml:space="preserve">curso de marroquineria </t>
  </si>
  <si>
    <t xml:space="preserve">Nicolas echeverria </t>
  </si>
  <si>
    <t xml:space="preserve">arbitrajes </t>
  </si>
  <si>
    <t xml:space="preserve">GOB </t>
  </si>
  <si>
    <t xml:space="preserve">DEPORTES </t>
  </si>
  <si>
    <t xml:space="preserve">mantenimiento anual </t>
  </si>
  <si>
    <t>htal. polo sanitario</t>
  </si>
  <si>
    <t>htal. carillo</t>
  </si>
  <si>
    <t>fiberco srl</t>
  </si>
  <si>
    <t>Switch ubiquitti  es-8-150w</t>
  </si>
  <si>
    <t>desler</t>
  </si>
  <si>
    <t>residuos patogenicos</t>
  </si>
  <si>
    <t>dias juan carlos</t>
  </si>
  <si>
    <t>reparaciones iveco dayly ae 728 rs</t>
  </si>
  <si>
    <t>gob</t>
  </si>
  <si>
    <t>Subs. de Deportes</t>
  </si>
  <si>
    <t xml:space="preserve">ploteos, carteleria vial </t>
  </si>
  <si>
    <t xml:space="preserve">Industria </t>
  </si>
  <si>
    <t xml:space="preserve">Subse de transito y bromatologia </t>
  </si>
  <si>
    <t>JUNIO                                                                                                                                         JUNIO</t>
  </si>
  <si>
    <t>impresores somial</t>
  </si>
  <si>
    <t xml:space="preserve">impresiones facturas C </t>
  </si>
  <si>
    <t>junio</t>
  </si>
  <si>
    <t xml:space="preserve">ato group </t>
  </si>
  <si>
    <t xml:space="preserve">Mobiliario para salita de salud </t>
  </si>
  <si>
    <t xml:space="preserve">Salud </t>
  </si>
  <si>
    <t xml:space="preserve">Dir de primer nivel </t>
  </si>
  <si>
    <t>artrotek s.r.l.</t>
  </si>
  <si>
    <t xml:space="preserve">recarga endogia </t>
  </si>
  <si>
    <t xml:space="preserve">veron </t>
  </si>
  <si>
    <t xml:space="preserve">Barrales </t>
  </si>
  <si>
    <t xml:space="preserve">Subs. de Deportes </t>
  </si>
  <si>
    <t>pop</t>
  </si>
  <si>
    <t xml:space="preserve">Desploteo </t>
  </si>
  <si>
    <t>Gob</t>
  </si>
  <si>
    <t xml:space="preserve">Subs. de Seguridad </t>
  </si>
  <si>
    <t>provision de bomba nueva y reparacion</t>
  </si>
  <si>
    <t xml:space="preserve">iurisci </t>
  </si>
  <si>
    <t xml:space="preserve">insumos de ferreteria </t>
  </si>
  <si>
    <t>ato group</t>
  </si>
  <si>
    <t xml:space="preserve">Insumos electricos </t>
  </si>
  <si>
    <t xml:space="preserve">Servicios </t>
  </si>
  <si>
    <t xml:space="preserve">Dir. Servicios electricos </t>
  </si>
  <si>
    <t>desfibrilador HS1 heartstart philps</t>
  </si>
  <si>
    <t>dir. de defensa civil</t>
  </si>
  <si>
    <t xml:space="preserve">provision de 40 baterias csb 12v 7ah go1272f2 cs3 </t>
  </si>
  <si>
    <t>informatica</t>
  </si>
  <si>
    <t xml:space="preserve">curso de serigrafia </t>
  </si>
  <si>
    <t>renovar energias s.r.l.</t>
  </si>
  <si>
    <t xml:space="preserve">paneles solares </t>
  </si>
  <si>
    <t>repuestos para paugeot partner 1,9 año 2008 int 185</t>
  </si>
  <si>
    <t xml:space="preserve">dir de control vehicular </t>
  </si>
  <si>
    <t>grupo regal s.r.l.</t>
  </si>
  <si>
    <t>bandeja termica silver c/vajilla</t>
  </si>
  <si>
    <t>herramientas y epp para vivero municipal</t>
  </si>
  <si>
    <t>materiales para armado de muebles</t>
  </si>
  <si>
    <t xml:space="preserve">inusmos de plomeria </t>
  </si>
  <si>
    <t xml:space="preserve">trauma </t>
  </si>
  <si>
    <t xml:space="preserve">ato </t>
  </si>
  <si>
    <t xml:space="preserve">mesas y sillas de plastico </t>
  </si>
  <si>
    <t>Subs de Ambien. y Desarrollo Sost.</t>
  </si>
  <si>
    <t>JUNIO</t>
  </si>
  <si>
    <t>JULIO                                                                                                                                         JULIO</t>
  </si>
  <si>
    <t xml:space="preserve">Veron Marcelo </t>
  </si>
  <si>
    <t xml:space="preserve">Art de computacion </t>
  </si>
  <si>
    <t>julio</t>
  </si>
  <si>
    <t xml:space="preserve">Dir de prensa </t>
  </si>
  <si>
    <t xml:space="preserve">Sosa Ezequiel </t>
  </si>
  <si>
    <t>Pinturas</t>
  </si>
  <si>
    <t xml:space="preserve">Universo Deportivo </t>
  </si>
  <si>
    <t xml:space="preserve">Remeras lisas </t>
  </si>
  <si>
    <t>Dir Gral de Promocion y des Cultur</t>
  </si>
  <si>
    <t xml:space="preserve">Mitre </t>
  </si>
  <si>
    <t>Reparacion int 176</t>
  </si>
  <si>
    <t xml:space="preserve">Sec. General </t>
  </si>
  <si>
    <t xml:space="preserve">Daniel Rugiero </t>
  </si>
  <si>
    <t xml:space="preserve">Neumaticos 175/65 r14 </t>
  </si>
  <si>
    <t xml:space="preserve">herramientas </t>
  </si>
  <si>
    <t xml:space="preserve">P&amp;B Luis ramon ibarra </t>
  </si>
  <si>
    <t>Reparacion int 318</t>
  </si>
  <si>
    <t xml:space="preserve">Dir de Prot. Ciudadana </t>
  </si>
  <si>
    <t>Caños</t>
  </si>
  <si>
    <t xml:space="preserve">Sec de Obras </t>
  </si>
  <si>
    <t xml:space="preserve">Angel Scoleri </t>
  </si>
  <si>
    <t xml:space="preserve">Reflectores </t>
  </si>
  <si>
    <t xml:space="preserve">Subs de Deportes </t>
  </si>
  <si>
    <t>parco santiago</t>
  </si>
  <si>
    <t>repuesto polea y mano de obra</t>
  </si>
  <si>
    <t>proteccion ciudadana</t>
  </si>
  <si>
    <t>dene</t>
  </si>
  <si>
    <t xml:space="preserve">rep de alimentador </t>
  </si>
  <si>
    <t xml:space="preserve">mitre </t>
  </si>
  <si>
    <t>rep ford ranger int 166</t>
  </si>
  <si>
    <t>antagli y mangini</t>
  </si>
  <si>
    <t>reparaciones</t>
  </si>
  <si>
    <t>ser. integrales dali</t>
  </si>
  <si>
    <t>comida hospitales</t>
  </si>
  <si>
    <t>cortadoras de pelo</t>
  </si>
  <si>
    <t>htal. veterinario</t>
  </si>
  <si>
    <t xml:space="preserve">Pop </t>
  </si>
  <si>
    <t xml:space="preserve">Ploteo </t>
  </si>
  <si>
    <t xml:space="preserve">Hospital veterinario </t>
  </si>
  <si>
    <t xml:space="preserve">Cristales mitre </t>
  </si>
  <si>
    <t>reparacion y materiales int 406</t>
  </si>
  <si>
    <t>iurisci</t>
  </si>
  <si>
    <t>cables, termicas e interruptores</t>
  </si>
  <si>
    <t>AGOSTO                                                                                                                                         AGOSTO</t>
  </si>
  <si>
    <t xml:space="preserve">carlini javier alberto </t>
  </si>
  <si>
    <t>freno hidraulico y herraje</t>
  </si>
  <si>
    <t>agosto</t>
  </si>
  <si>
    <t>polo</t>
  </si>
  <si>
    <t xml:space="preserve">oftalmologico </t>
  </si>
  <si>
    <t xml:space="preserve">Majuser </t>
  </si>
  <si>
    <t xml:space="preserve">Cambio de elastico </t>
  </si>
  <si>
    <t xml:space="preserve">edificio </t>
  </si>
  <si>
    <t>grafica ramlil</t>
  </si>
  <si>
    <t xml:space="preserve">desploteo y ploteo completo </t>
  </si>
  <si>
    <t xml:space="preserve">Dir de proteccion ciudadana </t>
  </si>
  <si>
    <t xml:space="preserve">Produccion e instalacion de vinilo laminado </t>
  </si>
  <si>
    <t xml:space="preserve">rotela </t>
  </si>
  <si>
    <t>reparacion hormigonera</t>
  </si>
  <si>
    <t xml:space="preserve">Pava electrica </t>
  </si>
  <si>
    <t xml:space="preserve">HCD </t>
  </si>
  <si>
    <t xml:space="preserve">Papelandia </t>
  </si>
  <si>
    <t xml:space="preserve">Impresora y parlante </t>
  </si>
  <si>
    <t xml:space="preserve">Subsecretaria de deportes </t>
  </si>
  <si>
    <t>fumigacion prensa</t>
  </si>
  <si>
    <t xml:space="preserve">dir. de prensa </t>
  </si>
  <si>
    <t xml:space="preserve">refacciones fabrila de ladrillos ecologicos </t>
  </si>
  <si>
    <t xml:space="preserve">Produccion e instalacion de vinilo </t>
  </si>
  <si>
    <t xml:space="preserve">Subs. de transito y bromatologia </t>
  </si>
  <si>
    <t xml:space="preserve">cristales mitre </t>
  </si>
  <si>
    <t xml:space="preserve">Barral led </t>
  </si>
  <si>
    <t xml:space="preserve">Basani </t>
  </si>
  <si>
    <t xml:space="preserve">Alquiler de baños quimicos </t>
  </si>
  <si>
    <t xml:space="preserve">Recambio de cierre para un inflable </t>
  </si>
  <si>
    <t xml:space="preserve">Subsecretaria de Deportes </t>
  </si>
  <si>
    <t xml:space="preserve">Prod e instalacion de vinila </t>
  </si>
  <si>
    <t xml:space="preserve">Dir de Proteccion Ciudadana </t>
  </si>
  <si>
    <t>ancelux</t>
  </si>
  <si>
    <t>container</t>
  </si>
  <si>
    <t xml:space="preserve">kymat </t>
  </si>
  <si>
    <t xml:space="preserve">Dir de ULG Villa de Mayo </t>
  </si>
  <si>
    <t xml:space="preserve">sosa </t>
  </si>
  <si>
    <t xml:space="preserve">Materiales para refaccion </t>
  </si>
  <si>
    <t xml:space="preserve">Sec Obras </t>
  </si>
  <si>
    <t>repuestos 119</t>
  </si>
  <si>
    <t xml:space="preserve">bateria ranger 2,2 </t>
  </si>
  <si>
    <t>Sub seguridad</t>
  </si>
  <si>
    <t xml:space="preserve">tendido de bandeja </t>
  </si>
  <si>
    <t xml:space="preserve">panamerican vial </t>
  </si>
  <si>
    <t>reparacion mixer INT 137</t>
  </si>
  <si>
    <t xml:space="preserve">Luis ramon ibarra </t>
  </si>
  <si>
    <t>Reparaciones in 411</t>
  </si>
  <si>
    <t xml:space="preserve">Sub Seguridad </t>
  </si>
  <si>
    <t xml:space="preserve">Provision de plantas </t>
  </si>
  <si>
    <t xml:space="preserve">ploteado esmerilado </t>
  </si>
  <si>
    <t>haicenda</t>
  </si>
  <si>
    <t>dir. de patrimonio</t>
  </si>
  <si>
    <t>carlini</t>
  </si>
  <si>
    <t>marco ventana aluminio con vridio 3+3 laminado</t>
  </si>
  <si>
    <t>rivas lucas agustin</t>
  </si>
  <si>
    <t>reparaicon int 414</t>
  </si>
  <si>
    <t xml:space="preserve">neumaticos int 329 </t>
  </si>
  <si>
    <t>javier rotela</t>
  </si>
  <si>
    <t>reparacion int 60</t>
  </si>
  <si>
    <t>dosificadora de homirgon</t>
  </si>
  <si>
    <t>reparacion int 329</t>
  </si>
  <si>
    <t>reparacion int 149</t>
  </si>
  <si>
    <t xml:space="preserve">Alejandro Iurisci </t>
  </si>
  <si>
    <t xml:space="preserve">Mat de griferia </t>
  </si>
  <si>
    <t xml:space="preserve">Sec de Obras  </t>
  </si>
  <si>
    <t>Reparaciones int 338</t>
  </si>
  <si>
    <t>neumaticos  para stock</t>
  </si>
  <si>
    <t>reparacion mixer int 07</t>
  </si>
  <si>
    <t xml:space="preserve">novak gerardo </t>
  </si>
  <si>
    <t>service int 311</t>
  </si>
  <si>
    <t xml:space="preserve">proteccion ciudadana </t>
  </si>
  <si>
    <t xml:space="preserve">liquido hidraulico, refrigerante y frenos </t>
  </si>
  <si>
    <t>rectificacion dene</t>
  </si>
  <si>
    <t>reparacion int 115</t>
  </si>
  <si>
    <t>SEPTIEMBRE                                                                                                                                         SEPTIEMBRE</t>
  </si>
  <si>
    <t>boreas desings</t>
  </si>
  <si>
    <t>arco inflable llegada y largada</t>
  </si>
  <si>
    <t>septiembre</t>
  </si>
  <si>
    <t xml:space="preserve">juventud </t>
  </si>
  <si>
    <t xml:space="preserve">bibloteca </t>
  </si>
  <si>
    <t xml:space="preserve">subs de Deportes </t>
  </si>
  <si>
    <t xml:space="preserve">bazar </t>
  </si>
  <si>
    <t xml:space="preserve">Dir General de Politicas de Juventud </t>
  </si>
  <si>
    <t xml:space="preserve">Tablet </t>
  </si>
  <si>
    <t xml:space="preserve">Dir general de Fiscalizacion </t>
  </si>
  <si>
    <t>colchones</t>
  </si>
  <si>
    <t>promocion social</t>
  </si>
  <si>
    <t xml:space="preserve">jpf </t>
  </si>
  <si>
    <t>provision y colocacion cerco premoldeado predio batallon</t>
  </si>
  <si>
    <t>Carlini</t>
  </si>
  <si>
    <t>division de oficina ulg</t>
  </si>
  <si>
    <t>ulg modelo</t>
  </si>
  <si>
    <t xml:space="preserve">Plantas </t>
  </si>
  <si>
    <t xml:space="preserve">Sec General </t>
  </si>
  <si>
    <t xml:space="preserve">Subse de ambiente y desarrollo sostenible </t>
  </si>
  <si>
    <t xml:space="preserve">Resmas </t>
  </si>
  <si>
    <t xml:space="preserve">Sec Salud </t>
  </si>
  <si>
    <t xml:space="preserve">set de mates </t>
  </si>
  <si>
    <t>Munguia</t>
  </si>
  <si>
    <t xml:space="preserve">Reparacion en el Polo Sanitario </t>
  </si>
  <si>
    <t>rotela javier</t>
  </si>
  <si>
    <t xml:space="preserve">reparacion int. de hormigonera </t>
  </si>
  <si>
    <t xml:space="preserve">munguia </t>
  </si>
  <si>
    <t>caño 200 pluvial x mt</t>
  </si>
  <si>
    <t xml:space="preserve">Bleu </t>
  </si>
  <si>
    <t>kangoo ii express confort 5a 1,6</t>
  </si>
  <si>
    <t>scoleri</t>
  </si>
  <si>
    <t>insumos electricos</t>
  </si>
  <si>
    <t>reparacion techo pileta del polo</t>
  </si>
  <si>
    <t>Pop</t>
  </si>
  <si>
    <t>desploteo y ploteo vehicular lyb 620</t>
  </si>
  <si>
    <t xml:space="preserve">Gob </t>
  </si>
  <si>
    <t xml:space="preserve">desploteo y ploteo vehicular </t>
  </si>
  <si>
    <t xml:space="preserve">Impresora y pilas </t>
  </si>
  <si>
    <t xml:space="preserve">Sec Industria </t>
  </si>
  <si>
    <t>Dir prevencion y control vial</t>
  </si>
  <si>
    <t xml:space="preserve">rc </t>
  </si>
  <si>
    <t xml:space="preserve">baterias </t>
  </si>
  <si>
    <t>repacion int 300</t>
  </si>
  <si>
    <t xml:space="preserve">logistica vehicular </t>
  </si>
  <si>
    <t xml:space="preserve">OCTUBRE </t>
  </si>
  <si>
    <t xml:space="preserve">gazebos </t>
  </si>
  <si>
    <t>octubre</t>
  </si>
  <si>
    <t xml:space="preserve">Dir de prevencion y control vial </t>
  </si>
  <si>
    <t>solmara</t>
  </si>
  <si>
    <t>insumos de limpieza</t>
  </si>
  <si>
    <t>ato</t>
  </si>
  <si>
    <t xml:space="preserve">Bastones luminosos, viales </t>
  </si>
  <si>
    <t xml:space="preserve">Transito y brom </t>
  </si>
  <si>
    <t>morita prod</t>
  </si>
  <si>
    <t xml:space="preserve">Evento </t>
  </si>
  <si>
    <t>reparacion int 79</t>
  </si>
  <si>
    <t>bomba y materiales apra instalacion</t>
  </si>
  <si>
    <t>reparacion int 66</t>
  </si>
  <si>
    <t>reparacion int 90</t>
  </si>
  <si>
    <t>reparacion int 217</t>
  </si>
  <si>
    <t>reparacion int 80</t>
  </si>
  <si>
    <t>reparacion int 27</t>
  </si>
  <si>
    <t>reparacion int 233</t>
  </si>
  <si>
    <t>reparacion int 135</t>
  </si>
  <si>
    <t>reparacion int 222</t>
  </si>
  <si>
    <t xml:space="preserve">pop </t>
  </si>
  <si>
    <t xml:space="preserve">ploteo y desploteo de vehiculos </t>
  </si>
  <si>
    <t xml:space="preserve">Dir de defensa civil y emergencias </t>
  </si>
  <si>
    <t xml:space="preserve">pleo de distintas motocicletas </t>
  </si>
  <si>
    <t xml:space="preserve">Dir proteccion ciudadana </t>
  </si>
  <si>
    <t xml:space="preserve">rotela diego </t>
  </si>
  <si>
    <t>Reparacion minicargadora int 149</t>
  </si>
  <si>
    <t xml:space="preserve">Dir. taller y pañol </t>
  </si>
  <si>
    <t xml:space="preserve">mar mo </t>
  </si>
  <si>
    <t xml:space="preserve">Lubricante para mant y rep </t>
  </si>
  <si>
    <t xml:space="preserve">Aballay adelmo </t>
  </si>
  <si>
    <t>112x180 para ford cargo int 67</t>
  </si>
  <si>
    <t>Provision de elementos para fort cargo 1416, int 67</t>
  </si>
  <si>
    <t>Subs. energias alt. y reciclado</t>
  </si>
  <si>
    <t xml:space="preserve">taller de elasticos </t>
  </si>
  <si>
    <t xml:space="preserve">Reparacion de elastico </t>
  </si>
  <si>
    <t xml:space="preserve">Dir. proteccion ciudadana </t>
  </si>
  <si>
    <t>cementos avellaneda</t>
  </si>
  <si>
    <t>cemento CPC40</t>
  </si>
  <si>
    <t>diaz carolina</t>
  </si>
  <si>
    <t>fumigacion defensa civil</t>
  </si>
  <si>
    <t>defensa civil</t>
  </si>
  <si>
    <t xml:space="preserve">Il vero oriente </t>
  </si>
  <si>
    <t xml:space="preserve">Lunch para 300 personas </t>
  </si>
  <si>
    <t>provision y armado de tablero electrico planta barrio segui</t>
  </si>
  <si>
    <t xml:space="preserve">universo dep </t>
  </si>
  <si>
    <t xml:space="preserve">Trofeos </t>
  </si>
  <si>
    <t xml:space="preserve">Subs. Deportes </t>
  </si>
  <si>
    <t>medallas</t>
  </si>
  <si>
    <t>subse. educacion</t>
  </si>
  <si>
    <t>barra de ballet</t>
  </si>
  <si>
    <t>reparacion int 497</t>
  </si>
  <si>
    <t>reparacion int 186</t>
  </si>
  <si>
    <t>reparacion int 138</t>
  </si>
  <si>
    <t>miguel marano</t>
  </si>
  <si>
    <t>novak gerardo</t>
  </si>
  <si>
    <t>filtros de aceite</t>
  </si>
  <si>
    <t xml:space="preserve">raul barbieris </t>
  </si>
  <si>
    <t>reparacion int 135,230,222,210,194</t>
  </si>
  <si>
    <t xml:space="preserve">NOVIEMBRE </t>
  </si>
  <si>
    <t xml:space="preserve">Emprendimientos mall </t>
  </si>
  <si>
    <t xml:space="preserve">Neumaticos </t>
  </si>
  <si>
    <t>noviembre</t>
  </si>
  <si>
    <t>reparacion int 084</t>
  </si>
  <si>
    <t>dir. de proteccion ciudadana</t>
  </si>
  <si>
    <t>subse. de la mujer</t>
  </si>
  <si>
    <t xml:space="preserve">LLT Traslados </t>
  </si>
  <si>
    <t xml:space="preserve">traslados a cordoba </t>
  </si>
  <si>
    <t xml:space="preserve">Dir. general de prom. del desarrollo Cultural </t>
  </si>
  <si>
    <t>reparacion hidrolavadora industrial</t>
  </si>
  <si>
    <t>repracion motoniveladora int 80</t>
  </si>
  <si>
    <t>reparacion hidroelevador int 111</t>
  </si>
  <si>
    <t>reparcion int 233</t>
  </si>
  <si>
    <t>reparacion int 127</t>
  </si>
  <si>
    <t>repracion int 329</t>
  </si>
  <si>
    <t>reparacion int 74</t>
  </si>
  <si>
    <t>reparacion int 126</t>
  </si>
  <si>
    <t>reparacion int 140</t>
  </si>
  <si>
    <t>reparacion int 8</t>
  </si>
  <si>
    <t>reparacion int 38</t>
  </si>
  <si>
    <t>reparacion int 82</t>
  </si>
  <si>
    <t xml:space="preserve">veron julio </t>
  </si>
  <si>
    <t xml:space="preserve">toner 105 hp alternativo </t>
  </si>
  <si>
    <t>veron julio</t>
  </si>
  <si>
    <t>Expo IA</t>
  </si>
  <si>
    <t xml:space="preserve">Dir. transito y bromatologia </t>
  </si>
  <si>
    <t>ferreteria para carteleria</t>
  </si>
  <si>
    <t>prevencion y control vial</t>
  </si>
  <si>
    <t>privada 63</t>
  </si>
  <si>
    <t xml:space="preserve">ferreteria </t>
  </si>
  <si>
    <t>subse de servicios</t>
  </si>
  <si>
    <t>reparacion int 175</t>
  </si>
  <si>
    <t>reparacion int 52-135-55-236</t>
  </si>
  <si>
    <t>reparacion int 388</t>
  </si>
  <si>
    <t>reparacion int 216</t>
  </si>
  <si>
    <t>reparacion int 4</t>
  </si>
  <si>
    <t>heladera y microondas</t>
  </si>
  <si>
    <t xml:space="preserve">subse de servicios </t>
  </si>
  <si>
    <t xml:space="preserve">ache </t>
  </si>
  <si>
    <t xml:space="preserve">elementos para aires acondicionas </t>
  </si>
  <si>
    <t>DICIEMBRE</t>
  </si>
  <si>
    <t>reparacion int 383</t>
  </si>
  <si>
    <t>diciembre</t>
  </si>
  <si>
    <t>taller elasticos san miguel</t>
  </si>
  <si>
    <t>reparacion int 234</t>
  </si>
  <si>
    <t>reparacion int 234-116-218-119-112-212</t>
  </si>
  <si>
    <t>reparacion int 210</t>
  </si>
  <si>
    <t>reparacion int 218</t>
  </si>
  <si>
    <t xml:space="preserve">reparcion carreton </t>
  </si>
  <si>
    <t>leyro atilio</t>
  </si>
  <si>
    <t>barras led int 388</t>
  </si>
  <si>
    <t>Quinteros Juan C</t>
  </si>
  <si>
    <t xml:space="preserve">Articulos de libreria </t>
  </si>
  <si>
    <t xml:space="preserve">Subsecretaria de educacion </t>
  </si>
  <si>
    <t xml:space="preserve">Marcelo Veron </t>
  </si>
  <si>
    <t>Articulos de robotica</t>
  </si>
  <si>
    <t>ploteo int 419</t>
  </si>
  <si>
    <t>reparacion int 192</t>
  </si>
  <si>
    <t>Sec. Gral</t>
  </si>
  <si>
    <t>reparacion int 6</t>
  </si>
  <si>
    <t>reparacion int 229</t>
  </si>
  <si>
    <t>reparacion int 198</t>
  </si>
  <si>
    <t>reparacion int 305</t>
  </si>
  <si>
    <t>reparacion int 123</t>
  </si>
  <si>
    <t>reparacion int 87</t>
  </si>
  <si>
    <t xml:space="preserve">Materiales Informaticos </t>
  </si>
  <si>
    <t xml:space="preserve">Hacienda </t>
  </si>
  <si>
    <t>emprendimientos mall / pepan</t>
  </si>
  <si>
    <t>indumentaria p/ seguridad vial</t>
  </si>
  <si>
    <t>seguridad vial</t>
  </si>
  <si>
    <t xml:space="preserve">discos de corte </t>
  </si>
  <si>
    <t>enero</t>
  </si>
  <si>
    <t xml:space="preserve">baez silvia </t>
  </si>
  <si>
    <t xml:space="preserve">alquiler de camion hidrolavador </t>
  </si>
  <si>
    <t xml:space="preserve">Pepan </t>
  </si>
  <si>
    <t xml:space="preserve">Indumentaria </t>
  </si>
  <si>
    <t>pesse</t>
  </si>
  <si>
    <t xml:space="preserve">sistema de hidratantes contra incendios </t>
  </si>
  <si>
    <t xml:space="preserve">Palacio municipal </t>
  </si>
  <si>
    <t>JPF</t>
  </si>
  <si>
    <t xml:space="preserve">Alambrado </t>
  </si>
  <si>
    <t xml:space="preserve">JPF </t>
  </si>
  <si>
    <t xml:space="preserve">Cerco perimetral </t>
  </si>
  <si>
    <t xml:space="preserve">Javier Cardini </t>
  </si>
  <si>
    <t xml:space="preserve">Sala hospitalaria </t>
  </si>
  <si>
    <t>sosa ezequiel</t>
  </si>
  <si>
    <t>remodelacion oficina judiciales</t>
  </si>
  <si>
    <t>direccion de judiciales</t>
  </si>
  <si>
    <t xml:space="preserve">Armario/estanteria </t>
  </si>
  <si>
    <t xml:space="preserve">Subs Educacion </t>
  </si>
  <si>
    <t>gabriel quinteros</t>
  </si>
  <si>
    <t>precintos azules enumerados para la venta de hormigon</t>
  </si>
  <si>
    <t>curso de refrigeracion</t>
  </si>
  <si>
    <t>Antagli y mangini</t>
  </si>
  <si>
    <t xml:space="preserve">Reparacion </t>
  </si>
  <si>
    <t>repuestos  int 79</t>
  </si>
  <si>
    <t>repuestos int 225</t>
  </si>
  <si>
    <t>repuestos int 52</t>
  </si>
  <si>
    <t>repuestos int 51</t>
  </si>
  <si>
    <t>repuestos int 96</t>
  </si>
  <si>
    <t>repuestos int 110</t>
  </si>
  <si>
    <t>repuestos int 118</t>
  </si>
  <si>
    <t>repuestos int 031</t>
  </si>
  <si>
    <t>repuestos int 035</t>
  </si>
  <si>
    <t>insumos termomecanicos</t>
  </si>
  <si>
    <t xml:space="preserve">la trinidad </t>
  </si>
  <si>
    <t xml:space="preserve">profilactico </t>
  </si>
  <si>
    <t xml:space="preserve">Subs de Juventud </t>
  </si>
  <si>
    <t>cerco</t>
  </si>
  <si>
    <t>Sec Obras</t>
  </si>
  <si>
    <t>repuestos int 176</t>
  </si>
  <si>
    <t>repuestos int 198</t>
  </si>
  <si>
    <t>repuestos int 182</t>
  </si>
  <si>
    <t>repuestos int 68</t>
  </si>
  <si>
    <t>repuestos int 93</t>
  </si>
  <si>
    <t>Ceremonial</t>
  </si>
  <si>
    <t>FEBRERO</t>
  </si>
  <si>
    <t>rotela</t>
  </si>
  <si>
    <t>int 329</t>
  </si>
  <si>
    <t>int 208</t>
  </si>
  <si>
    <t>juventud cristiana</t>
  </si>
  <si>
    <t xml:space="preserve">ortega rodrigo </t>
  </si>
  <si>
    <t>ache</t>
  </si>
  <si>
    <t>reparacion AA ULG polvorines</t>
  </si>
  <si>
    <t xml:space="preserve">instalacion AA oficina Lujan </t>
  </si>
  <si>
    <t>palacio</t>
  </si>
  <si>
    <t>polo UTIA</t>
  </si>
  <si>
    <t>Insumos Htal. Drozdowsky</t>
  </si>
  <si>
    <t>mantenimiento bomba sumergible tunel 197</t>
  </si>
  <si>
    <t>mitre</t>
  </si>
  <si>
    <t>repuestos in 117</t>
  </si>
  <si>
    <t>Dir. taller y pañol</t>
  </si>
  <si>
    <t>reparacion bomba sumergible tunel 197</t>
  </si>
  <si>
    <t>reparacion de acmion volcador iveco int 385</t>
  </si>
  <si>
    <t>reparacion de hidroelevador int 234</t>
  </si>
  <si>
    <t xml:space="preserve">aire acondicionado portatil </t>
  </si>
  <si>
    <t xml:space="preserve">Sec. Industria </t>
  </si>
  <si>
    <t xml:space="preserve">Subs. transito y bromaatologia </t>
  </si>
  <si>
    <t>Prov de equipamiento electronico</t>
  </si>
  <si>
    <t>Desarrollo cultural y art.</t>
  </si>
  <si>
    <t>repuestos int 74</t>
  </si>
  <si>
    <t>repuestos int 149</t>
  </si>
  <si>
    <t>repuestos int 175</t>
  </si>
  <si>
    <t>repuestos int 329</t>
  </si>
  <si>
    <t>repuestos int 330</t>
  </si>
  <si>
    <t>inusmos termomecanicos tomografo polo</t>
  </si>
  <si>
    <t xml:space="preserve">AA 3000frg </t>
  </si>
  <si>
    <t>garrafa de gas refrigerante R410 x 11,3kg</t>
  </si>
  <si>
    <t>repuestos int 119</t>
  </si>
  <si>
    <t>repuestos int 219/215/217</t>
  </si>
  <si>
    <t>repuestos int 92</t>
  </si>
  <si>
    <t>reparacion nucleo D // Roof Top N°1,2,3,4</t>
  </si>
  <si>
    <t>Cristales mitre</t>
  </si>
  <si>
    <t>repuestos mercedes benz 1620 int 131</t>
  </si>
  <si>
    <t>repuestos iveco daily int 13</t>
  </si>
  <si>
    <t>repuestos iveco daily int 281</t>
  </si>
  <si>
    <t>repuestos camion mercedes benz 1620 int 110</t>
  </si>
  <si>
    <t>repuesto vw amarok int 102</t>
  </si>
  <si>
    <t>repuestos cargador frontal caterpillar 930s int 4</t>
  </si>
  <si>
    <t xml:space="preserve">Juan Inacio Frutos </t>
  </si>
  <si>
    <t>reparacion de movil n°211</t>
  </si>
  <si>
    <t>reparacion de movil n°168</t>
  </si>
  <si>
    <t>reparacion de movil n°158</t>
  </si>
  <si>
    <t xml:space="preserve">rampa doble con guia telescopica </t>
  </si>
  <si>
    <t xml:space="preserve">promocion social </t>
  </si>
  <si>
    <t xml:space="preserve">cubos luminosos </t>
  </si>
  <si>
    <t>Subs de juventud</t>
  </si>
  <si>
    <t xml:space="preserve">rerparacion tractor </t>
  </si>
  <si>
    <t>desarrollo urbano</t>
  </si>
  <si>
    <t>reparacion mixer 128 por vuelco</t>
  </si>
  <si>
    <t>MARZO</t>
  </si>
  <si>
    <t xml:space="preserve">rpm </t>
  </si>
  <si>
    <t>Manguera de admision hibraulica hyundai int 51</t>
  </si>
  <si>
    <t xml:space="preserve">sec general </t>
  </si>
  <si>
    <t>Taller y pañol</t>
  </si>
  <si>
    <t>reparacion punta de eje j int 193</t>
  </si>
  <si>
    <t>conjunto mando final tandem int 80</t>
  </si>
  <si>
    <t xml:space="preserve">Taller y pañol </t>
  </si>
  <si>
    <t xml:space="preserve">repuestos para flota municipal </t>
  </si>
  <si>
    <t>reparacion vw amarok 2,0 int 90</t>
  </si>
  <si>
    <t>reparacion ford ranger int 348</t>
  </si>
  <si>
    <t xml:space="preserve">copia de llaves para vehiculo int 95 </t>
  </si>
  <si>
    <t>repuestos para ford 4000 int 115</t>
  </si>
  <si>
    <t>repuestos mb sprinter 515 int 29</t>
  </si>
  <si>
    <t>repuestos ford cargo 1722e int 233</t>
  </si>
  <si>
    <t>jpf/landica</t>
  </si>
  <si>
    <t>reductores de velocidad sinusoidal</t>
  </si>
  <si>
    <t xml:space="preserve">PERFECT COLOR </t>
  </si>
  <si>
    <t>Alquiler de impresoras</t>
  </si>
  <si>
    <t>tae seguridad</t>
  </si>
  <si>
    <t>camaras de seguridad</t>
  </si>
  <si>
    <t>emprendimientos mall</t>
  </si>
  <si>
    <t>indumentaria inspecciones</t>
  </si>
  <si>
    <t xml:space="preserve">desarrollo urbano </t>
  </si>
  <si>
    <t>DD&amp;GG</t>
  </si>
  <si>
    <t xml:space="preserve">techo bromatologia </t>
  </si>
  <si>
    <t xml:space="preserve">Electrica castelar </t>
  </si>
  <si>
    <t xml:space="preserve">Federico oskorip </t>
  </si>
  <si>
    <t xml:space="preserve">Indumentaria perdonal </t>
  </si>
  <si>
    <t xml:space="preserve">dene </t>
  </si>
  <si>
    <t>repuestos int 212-214-388</t>
  </si>
  <si>
    <t xml:space="preserve">Sec. general </t>
  </si>
  <si>
    <t xml:space="preserve">fusion vial </t>
  </si>
  <si>
    <t>Reparacion de camnion desobtructor int 233</t>
  </si>
  <si>
    <t xml:space="preserve">Veron </t>
  </si>
  <si>
    <t xml:space="preserve">Subse. Educacion </t>
  </si>
  <si>
    <t>Repuestos int 189</t>
  </si>
  <si>
    <t>Reparaciones int 381</t>
  </si>
  <si>
    <t>reparaciones int 68</t>
  </si>
  <si>
    <t>ABRIL</t>
  </si>
  <si>
    <t>mg montajes y servicos srl</t>
  </si>
  <si>
    <t xml:space="preserve">remodelacion centro de salud quesada </t>
  </si>
  <si>
    <t>reparaciones en autoelevador nissan int 205</t>
  </si>
  <si>
    <t>sistema bajo silueta para oficinas planta baja</t>
  </si>
  <si>
    <t>sec, general</t>
  </si>
  <si>
    <t>coordinacion de programas y ong</t>
  </si>
  <si>
    <t xml:space="preserve">Dene </t>
  </si>
  <si>
    <t>reparaciones int 213</t>
  </si>
  <si>
    <t xml:space="preserve">antagli y mangini </t>
  </si>
  <si>
    <t>Bomba hidraulica p/ford 4000 int 214</t>
  </si>
  <si>
    <t>Reparacion de caja hidraulica p/ford 4000 int 214</t>
  </si>
  <si>
    <t xml:space="preserve">MItre </t>
  </si>
  <si>
    <t>Repuesto P/ Ford  4000 INT 214</t>
  </si>
  <si>
    <t xml:space="preserve">Rotela Diego </t>
  </si>
  <si>
    <t>Reparacion de pala cargadora int 55</t>
  </si>
  <si>
    <t>reparacion de motoniveladora galion 830 int 81</t>
  </si>
  <si>
    <t>groh</t>
  </si>
  <si>
    <t>inusmos de limpieza</t>
  </si>
  <si>
    <t xml:space="preserve">subse. de servicios </t>
  </si>
  <si>
    <t xml:space="preserve">inusmos de informatica </t>
  </si>
  <si>
    <t>subse de gobierno</t>
  </si>
  <si>
    <t>destructora de papel industrial</t>
  </si>
  <si>
    <t>contaduria</t>
  </si>
  <si>
    <t>ortega  rodrigo</t>
  </si>
  <si>
    <t>ferreteria para el com</t>
  </si>
  <si>
    <t>COM</t>
  </si>
  <si>
    <t>rejas azotea nucleo 1,2,3 y 4</t>
  </si>
  <si>
    <t>estanteria metalica 2x0,90x0,30</t>
  </si>
  <si>
    <t xml:space="preserve">protector de tension </t>
  </si>
  <si>
    <t xml:space="preserve">fumigacion gendarmeria </t>
  </si>
  <si>
    <t>nievas</t>
  </si>
  <si>
    <t>pc i5 completa</t>
  </si>
  <si>
    <t>legal y tecnica</t>
  </si>
  <si>
    <t>pc ryzen 3 completa + impresora multifuncion</t>
  </si>
  <si>
    <t>mediacion comunitaria</t>
  </si>
  <si>
    <t>pc ryzen 5 completa</t>
  </si>
  <si>
    <t xml:space="preserve">Kymat </t>
  </si>
  <si>
    <t xml:space="preserve">insumos para el mant y reparaciones de instalaciones electricas </t>
  </si>
  <si>
    <t xml:space="preserve">Dir. Gral. de Desarrollo Economico </t>
  </si>
  <si>
    <t>katarzynki / ancelux</t>
  </si>
  <si>
    <t xml:space="preserve">cerrammiento granja </t>
  </si>
  <si>
    <t>subse medio ambiente</t>
  </si>
  <si>
    <t>baez</t>
  </si>
  <si>
    <t xml:space="preserve">hierros p/ tapas y sumideros </t>
  </si>
  <si>
    <t>kit de frenos Mercedes benz sprinter int 533</t>
  </si>
  <si>
    <t>Prov de repuestos ford 4000 Int 219</t>
  </si>
  <si>
    <t>Prov de repuestos Camion Ford cargo 1517e Int 232</t>
  </si>
  <si>
    <t>sonido expocar</t>
  </si>
  <si>
    <t>calcos expocar</t>
  </si>
  <si>
    <t>kit toxic shine expocar</t>
  </si>
  <si>
    <t>repuestos para int 70 Compactador vial</t>
  </si>
  <si>
    <t xml:space="preserve">SEc. general </t>
  </si>
  <si>
    <t>Repuestos para diferentes internos 228-384-379-198</t>
  </si>
  <si>
    <t>Repuestos para diferentes internos 381--389-379-390</t>
  </si>
  <si>
    <t>Repuestos iveco daily int 101-15</t>
  </si>
  <si>
    <t>kymat</t>
  </si>
  <si>
    <t>insumos electricos para el com</t>
  </si>
  <si>
    <t>com</t>
  </si>
  <si>
    <t xml:space="preserve">radiadores barbieris </t>
  </si>
  <si>
    <t xml:space="preserve">Reparacion de radiadores </t>
  </si>
  <si>
    <t>Reparacion del vehiculo int 545 cargador frontal 938k</t>
  </si>
  <si>
    <t xml:space="preserve">reparacion de minicargadora </t>
  </si>
  <si>
    <t>sosa</t>
  </si>
  <si>
    <t xml:space="preserve">Materiales de ferreteria y electricos </t>
  </si>
  <si>
    <t xml:space="preserve">Subse de promocion e int social </t>
  </si>
  <si>
    <t xml:space="preserve">Repearicion camion ford cargo 1416 Int 45 </t>
  </si>
  <si>
    <t>reparacion de grua almeja n9000 int 123</t>
  </si>
  <si>
    <t>reparacion mini cargadora bobcat s220 int 176</t>
  </si>
  <si>
    <t>Repuestos iveco daily int 400</t>
  </si>
  <si>
    <t xml:space="preserve">Promocion social </t>
  </si>
  <si>
    <t xml:space="preserve">Herramientas </t>
  </si>
  <si>
    <t>Sec. obras</t>
  </si>
  <si>
    <t>Reparacion minicargadora Bobcat s650 int 330</t>
  </si>
  <si>
    <t xml:space="preserve">Sec.General </t>
  </si>
  <si>
    <t>Luneta para motonovelador galion 830 int 79</t>
  </si>
  <si>
    <t>fumigacion promocion social</t>
  </si>
  <si>
    <t xml:space="preserve">botas de lluvia urbanas </t>
  </si>
  <si>
    <t xml:space="preserve">plafones y reflectores </t>
  </si>
  <si>
    <t xml:space="preserve">Subse de Deportes </t>
  </si>
  <si>
    <t xml:space="preserve">mantenimiento aires data center </t>
  </si>
  <si>
    <t>sosa enzo</t>
  </si>
  <si>
    <t>alambre de fardo n°16 acindar</t>
  </si>
  <si>
    <t>sec general</t>
  </si>
  <si>
    <t>master class</t>
  </si>
  <si>
    <t>direccion gral de cultura</t>
  </si>
  <si>
    <t>repuesto int 70</t>
  </si>
  <si>
    <t>reparacion int 381</t>
  </si>
  <si>
    <t>reparacion int 390</t>
  </si>
  <si>
    <t>reparacion int 139</t>
  </si>
  <si>
    <t>reapracion int 228</t>
  </si>
  <si>
    <t>repuestos para compactador vial int 70</t>
  </si>
  <si>
    <t>repuestos para minicargadora int 176</t>
  </si>
  <si>
    <t>repuestos para ford 4000 int 119</t>
  </si>
  <si>
    <t>repuestos int 8</t>
  </si>
  <si>
    <t>repuestos int 213</t>
  </si>
  <si>
    <t>wagen</t>
  </si>
  <si>
    <t>amarok 0km</t>
  </si>
  <si>
    <t>gancho de tariler o carreton 3 Int 147-333-43</t>
  </si>
  <si>
    <t>SEc. Genaral</t>
  </si>
  <si>
    <t xml:space="preserve">garcia diego </t>
  </si>
  <si>
    <t>fumigacion palacio municipal</t>
  </si>
  <si>
    <t xml:space="preserve">wilmar-buitencamp </t>
  </si>
  <si>
    <t>reparación de letras de rotonda J.L Suarez y R.P.23</t>
  </si>
  <si>
    <t xml:space="preserve">Subse. medio ambiente </t>
  </si>
  <si>
    <t>repuestos para ford ranger 2,2 int 035</t>
  </si>
  <si>
    <t xml:space="preserve">taller y pañol </t>
  </si>
  <si>
    <t>repuestos para ford cargo 2631 int 136</t>
  </si>
  <si>
    <t>repuestos vw amarok int 139</t>
  </si>
  <si>
    <t>repuestos ve amarok 2,0 int 188</t>
  </si>
  <si>
    <t xml:space="preserve">Repuestos para ford transit </t>
  </si>
  <si>
    <t>Computadoras</t>
  </si>
  <si>
    <t xml:space="preserve">Tesoreria </t>
  </si>
  <si>
    <t xml:space="preserve">Dir Recursos Humanos </t>
  </si>
  <si>
    <t>Dene</t>
  </si>
  <si>
    <t>REPARACION COMPRESOR DE AIRE INT 230</t>
  </si>
  <si>
    <t>Reparacion de mercedes benz Int 29</t>
  </si>
  <si>
    <t>Repuestos para Ford ranger 2,2 Int 342</t>
  </si>
  <si>
    <t>Repuestos para Amarok Int 90</t>
  </si>
  <si>
    <t>Repuestos para Vw Amarok Int 93</t>
  </si>
  <si>
    <t>Reparacion Ford ranger Int 181</t>
  </si>
  <si>
    <t>gazzano ignacio</t>
  </si>
  <si>
    <t>sonido mailin</t>
  </si>
  <si>
    <t>religion y culto</t>
  </si>
  <si>
    <t>escenario mailin</t>
  </si>
  <si>
    <t>Reparacion Ford Cargo Int 1517</t>
  </si>
  <si>
    <t>matias marenna</t>
  </si>
  <si>
    <t>reparacion int 475</t>
  </si>
  <si>
    <t>pda / roa</t>
  </si>
  <si>
    <t>botas de lluvia</t>
  </si>
  <si>
    <t>servicios</t>
  </si>
  <si>
    <t>Reparacion Ford Cargo 1416 Int 65</t>
  </si>
  <si>
    <t>servefer</t>
  </si>
  <si>
    <t xml:space="preserve">capas y botas de lluvia </t>
  </si>
  <si>
    <t>.</t>
  </si>
  <si>
    <t>Universo deportivo</t>
  </si>
  <si>
    <t xml:space="preserve">Medallas </t>
  </si>
  <si>
    <t xml:space="preserve">Subse Deportes </t>
  </si>
  <si>
    <t xml:space="preserve">Buitencamp </t>
  </si>
  <si>
    <t xml:space="preserve">Mapas 100cm x 120cm para colegios </t>
  </si>
  <si>
    <t xml:space="preserve">Juventud </t>
  </si>
  <si>
    <t>kyamt</t>
  </si>
  <si>
    <t>veterinario</t>
  </si>
  <si>
    <t xml:space="preserve">perella </t>
  </si>
  <si>
    <t xml:space="preserve">2 lavarropas con instalacion </t>
  </si>
  <si>
    <t>Subse. Mujer, niñez y adol.</t>
  </si>
  <si>
    <t>reparacion int 81</t>
  </si>
  <si>
    <t>reparacion int 175-176</t>
  </si>
  <si>
    <t xml:space="preserve">Universo dep </t>
  </si>
  <si>
    <t xml:space="preserve">Arcos de futbol </t>
  </si>
  <si>
    <t xml:space="preserve">Deportes </t>
  </si>
  <si>
    <t>osvaldo deportes</t>
  </si>
  <si>
    <t>insumos deportivos poli sourdeaux</t>
  </si>
  <si>
    <t xml:space="preserve">matias marena </t>
  </si>
  <si>
    <t xml:space="preserve">Cartel para Obra Hidraulica </t>
  </si>
  <si>
    <t>Obras</t>
  </si>
  <si>
    <t xml:space="preserve">Arce </t>
  </si>
  <si>
    <t>Materiales para readecuación de oficina Dirección de Redes</t>
  </si>
  <si>
    <t xml:space="preserve">lockers </t>
  </si>
  <si>
    <t>Buitencamp</t>
  </si>
  <si>
    <t xml:space="preserve">Pizarra </t>
  </si>
  <si>
    <t>Emprendimientos mall</t>
  </si>
  <si>
    <t xml:space="preserve">Patrico Mc Loughilin </t>
  </si>
  <si>
    <t xml:space="preserve">mantenmiento de impresora Kyocera </t>
  </si>
  <si>
    <t>Repuestos para ve amarok 2,0 Int  93</t>
  </si>
  <si>
    <t xml:space="preserve">Taller de elasticos </t>
  </si>
  <si>
    <t xml:space="preserve">Reparacion de elastico delantero. Iveco tector 150e21 </t>
  </si>
  <si>
    <t>Reparacion de elastico trasero Ford RANGER 2,2 iD 76898</t>
  </si>
  <si>
    <t xml:space="preserve">Dir. Proteccion ciudadana </t>
  </si>
  <si>
    <t>Reparacion de elastico  Ford RANGER 2,2 iD 76901</t>
  </si>
  <si>
    <t>Reparacion de elastico Ford RANGER 2,2 iD 65394</t>
  </si>
  <si>
    <t>Reparacion de elastico  Ford RANGER 2,2 iD 76897</t>
  </si>
  <si>
    <t>Reparacion de elastico  Ford RANGER 2,2 iD 43631</t>
  </si>
  <si>
    <t>Reparancion de movil 302 aa271 id n°26512</t>
  </si>
  <si>
    <t>Reparacion de movil 303 aa 271 Id n°26513</t>
  </si>
  <si>
    <t>Salud</t>
  </si>
  <si>
    <t>Reparacion de Ford cargo 1416 Int 46</t>
  </si>
  <si>
    <t>Reparacion de bomba alta presion Ford Ranger Int 180</t>
  </si>
  <si>
    <t>reparacion int 46 y 65</t>
  </si>
  <si>
    <t>reparacion int 55</t>
  </si>
  <si>
    <t>reparacion int 50</t>
  </si>
  <si>
    <t>reparacion int 329 y repuesto int 149, 175 y 176</t>
  </si>
  <si>
    <t>Repuestos para ford cargo 1517e int 229</t>
  </si>
  <si>
    <t xml:space="preserve">cerradura de porton trasero para Renault Kangoo </t>
  </si>
  <si>
    <t>Reparaciones de elasticos Ford Ranger 2,2 id 76894</t>
  </si>
  <si>
    <t xml:space="preserve">Dir. Proteccion Ciudadana </t>
  </si>
  <si>
    <t xml:space="preserve">Reparacion para Int 29 Sprinter Mercedes </t>
  </si>
  <si>
    <t xml:space="preserve">Taller y Pañol </t>
  </si>
  <si>
    <t xml:space="preserve">Repuestos para Int 90 Amarok </t>
  </si>
  <si>
    <t>Reparacion para Int 46 Ford Cargo 1416</t>
  </si>
  <si>
    <t>Freire</t>
  </si>
  <si>
    <t xml:space="preserve">Insumos de ferreteria </t>
  </si>
  <si>
    <t>Ato</t>
  </si>
  <si>
    <t xml:space="preserve">Camas superpuestas </t>
  </si>
  <si>
    <t xml:space="preserve">Emprendimientol mall </t>
  </si>
  <si>
    <t xml:space="preserve">Dir Proteccion ciudadana </t>
  </si>
  <si>
    <t>Repuestos para int 96</t>
  </si>
  <si>
    <t>Repuestos para int 120-215-217</t>
  </si>
  <si>
    <t>Repuestos para int 15-69-390</t>
  </si>
  <si>
    <t>reparacion motor bobcat int 175</t>
  </si>
  <si>
    <t>repuestos para int 216 ford 4000</t>
  </si>
  <si>
    <t>repuestos para int 212 Ford 4000</t>
  </si>
  <si>
    <t>repuestos para int 131 Mercedes benz l1620</t>
  </si>
  <si>
    <t>Reaparaciones int 212 Ford 4000</t>
  </si>
  <si>
    <t xml:space="preserve">Repuestos Int 338 Iveco daily </t>
  </si>
  <si>
    <t xml:space="preserve">Repuestos int 55 Cargador frontal caterpillar 938k </t>
  </si>
  <si>
    <t>Reparación del vehículo  INT.219 Ford 4000</t>
  </si>
  <si>
    <t>Reparaciones para INT. 79 Motoniveladora galion 831</t>
  </si>
  <si>
    <t>Reparación del vehículo INT.228, Ford Cargo 1517</t>
  </si>
  <si>
    <t>Reparaciónes los Hidroelevadores de los INT.13 Y 234</t>
  </si>
  <si>
    <t>Reparación de las Minicargadoras Bobcat  INT.176  e INT.149</t>
  </si>
  <si>
    <t>Reparación  del vehículo INT.80, Motoniveladora Galion 830 Serie B</t>
  </si>
  <si>
    <t>Reparación  INT.225 e INT.226 , Ford Cargo 1517</t>
  </si>
  <si>
    <t>JULIO</t>
  </si>
  <si>
    <t xml:space="preserve">Cruci juegos </t>
  </si>
  <si>
    <t xml:space="preserve">Juegos infantiles para exterior </t>
  </si>
  <si>
    <t xml:space="preserve">Subse de la mujer </t>
  </si>
  <si>
    <t xml:space="preserve">Cristales Mitre </t>
  </si>
  <si>
    <t>Repuestos para minicargadora bobcat s2220 Int 175</t>
  </si>
  <si>
    <t>Repuestos para Peugeot Partner Int 157</t>
  </si>
  <si>
    <t>Repuestos para cargadora frontal caterpillar 930-s Int 4</t>
  </si>
  <si>
    <t>Repuestos Peugeot partner Int 157</t>
  </si>
  <si>
    <t>Repuestos para Ford -100 Int 100</t>
  </si>
  <si>
    <t>Reparaciones Ford cargo 915 Int 126</t>
  </si>
  <si>
    <t>Reparacion vw voyage 1,6 Int 318</t>
  </si>
  <si>
    <t>Repuestos Ford 4000 int 115 y 118</t>
  </si>
  <si>
    <t>Repuestos ford cargo 2631 Int 137</t>
  </si>
  <si>
    <t>Repuestos Ford cargo 1517 Int 201</t>
  </si>
  <si>
    <t>Repuestos Ford cargo 1416 Int 65</t>
  </si>
  <si>
    <t>Repuestos Ford Cargo 2631 Int 136</t>
  </si>
  <si>
    <t>Repuestos Ford 4000 Int 217 y 118</t>
  </si>
  <si>
    <t>RPM</t>
  </si>
  <si>
    <t>Reparaciones motoniveladora 830 Int 52</t>
  </si>
  <si>
    <t>repuestos int 120</t>
  </si>
  <si>
    <t>respuestos int 212</t>
  </si>
  <si>
    <t>repuestos int 218 - 111</t>
  </si>
  <si>
    <t>compañia turnoc</t>
  </si>
  <si>
    <t xml:space="preserve">Contratacion de jurados </t>
  </si>
  <si>
    <t xml:space="preserve">Subse Educacion </t>
  </si>
  <si>
    <t>Reparaciones Ford ranger Int 348</t>
  </si>
  <si>
    <t xml:space="preserve">Rotela </t>
  </si>
  <si>
    <t>Reparaciones motohormigonera int 137-387</t>
  </si>
  <si>
    <t>Reparacion renault kangoo Int 378</t>
  </si>
  <si>
    <t>Reparaciones Hidro elevador Int 15</t>
  </si>
  <si>
    <t xml:space="preserve">Reparacion de motor electrico de 10hp </t>
  </si>
  <si>
    <t xml:space="preserve">Lentes de camaras </t>
  </si>
  <si>
    <t xml:space="preserve">Dir prensa y comunicacion </t>
  </si>
  <si>
    <t>Reparacion de camion ford 4000 Int 219</t>
  </si>
  <si>
    <t>Reparacion de bomba inyectora ford cargo Int 35</t>
  </si>
  <si>
    <t>Reparacion en camion mixer de hormigon int 136-137</t>
  </si>
  <si>
    <t xml:space="preserve">Martillo percutor </t>
  </si>
  <si>
    <t xml:space="preserve">Sosa esteban </t>
  </si>
  <si>
    <t xml:space="preserve">Macetas </t>
  </si>
  <si>
    <t xml:space="preserve">Desarrollo sostenible </t>
  </si>
  <si>
    <t xml:space="preserve">Ato </t>
  </si>
  <si>
    <t xml:space="preserve">Procesadora de alimentos </t>
  </si>
  <si>
    <t xml:space="preserve">Ploteo vehicular para 466 </t>
  </si>
  <si>
    <t>Repuestos para el vehiculo Ford cargo 1416 Int 66</t>
  </si>
  <si>
    <t>Reparaciones para vehiculo Ford 14000 Int 123</t>
  </si>
  <si>
    <t xml:space="preserve">Heredia </t>
  </si>
  <si>
    <t xml:space="preserve">Insumos fotograficos </t>
  </si>
  <si>
    <t>Sec. General</t>
  </si>
  <si>
    <t xml:space="preserve">Desarrollo economico </t>
  </si>
  <si>
    <t xml:space="preserve">Insumos para flota municipal </t>
  </si>
  <si>
    <t xml:space="preserve">Ache </t>
  </si>
  <si>
    <t xml:space="preserve">Equipo de aire acondicionado </t>
  </si>
  <si>
    <t>Rotela</t>
  </si>
  <si>
    <t>Reparaciones para el vehiculo Peugeot partner int 157</t>
  </si>
  <si>
    <t>Repuestos para un alutoelevador nissan int 205</t>
  </si>
  <si>
    <t>Repuestos para ford cargo 1517 Int 228</t>
  </si>
  <si>
    <t>Repuestos para Iveco Daily Int 388</t>
  </si>
  <si>
    <t>Repuestos Volksagen Amarok Int 90</t>
  </si>
  <si>
    <t>Repuestos para los int 387-79-55</t>
  </si>
  <si>
    <t xml:space="preserve">Garcia diego </t>
  </si>
  <si>
    <t xml:space="preserve">Servicio de fumigacion </t>
  </si>
  <si>
    <t>mant anual de roof top</t>
  </si>
  <si>
    <t>provision e instalacion</t>
  </si>
  <si>
    <t xml:space="preserve">Vet </t>
  </si>
  <si>
    <t>AGOSTO</t>
  </si>
  <si>
    <t xml:space="preserve">Repuestos para chipeadora de ramas </t>
  </si>
  <si>
    <t>Repuestos para ford 4000 int 220-214</t>
  </si>
  <si>
    <t>Reparaciones en volkswagen amarok int 92</t>
  </si>
  <si>
    <t>Reparaciones en ford 4000 int 215</t>
  </si>
  <si>
    <t>Reparaciones en camiones mixer Int 7-136-137</t>
  </si>
  <si>
    <t>Reparaciones Ford cargo 1416, Int 37</t>
  </si>
  <si>
    <t>Reparaciones camion Ford cargo Int 65</t>
  </si>
  <si>
    <t>Reparaciones Camoin mercedes benz int 130</t>
  </si>
  <si>
    <t>Reparaciones varias para los int 38-68-180</t>
  </si>
  <si>
    <t>Reparaciones varias para los int 379-228-225-198-94-66-127</t>
  </si>
  <si>
    <t xml:space="preserve">Diego Swchartz </t>
  </si>
  <si>
    <t xml:space="preserve">Insumos para curso de modista </t>
  </si>
  <si>
    <t xml:space="preserve">RC </t>
  </si>
  <si>
    <t xml:space="preserve">Reparacion en grupo electrogeno </t>
  </si>
  <si>
    <t xml:space="preserve">PDA </t>
  </si>
  <si>
    <t xml:space="preserve">Insumos para el curso de auto motor </t>
  </si>
  <si>
    <t xml:space="preserve">Mobiliario </t>
  </si>
  <si>
    <t>Subse Deportes</t>
  </si>
  <si>
    <t>Repuestos p/Int. 123-124-182-180-130-131-110</t>
  </si>
  <si>
    <t xml:space="preserve">Marano </t>
  </si>
  <si>
    <r>
      <t xml:space="preserve">Reparaciones p/Int. </t>
    </r>
    <r>
      <rPr>
        <sz val="11"/>
        <color rgb="FF000000"/>
        <rFont val="Calibri"/>
        <scheme val="minor"/>
      </rPr>
      <t>81</t>
    </r>
  </si>
  <si>
    <r>
      <rPr>
        <sz val="11"/>
        <color rgb="FF242424"/>
        <rFont val="Calibri"/>
        <scheme val="minor"/>
      </rPr>
      <t xml:space="preserve">Repuestos p/Int. </t>
    </r>
    <r>
      <rPr>
        <sz val="11"/>
        <color rgb="FF000000"/>
        <rFont val="Calibri"/>
        <scheme val="minor"/>
      </rPr>
      <t>80</t>
    </r>
  </si>
  <si>
    <t>SEPTIEMBRE</t>
  </si>
  <si>
    <t xml:space="preserve">Reparaciones para camion ford cargo 1417 Int 66 </t>
  </si>
  <si>
    <t>Reparacion de camion FORD modelo  Cargo 1517   Int: 197</t>
  </si>
  <si>
    <t>Reparación Bomba de alta presión Ford Cargo 1517 Int 199</t>
  </si>
  <si>
    <t>Reparación Bomba alta presion p/Ford Ranger 3.0 INT. N° 022</t>
  </si>
  <si>
    <t>Mitre</t>
  </si>
  <si>
    <t>MdeO y repuestos para movil 465 Ford Ranger 2,2</t>
  </si>
  <si>
    <t>servicio téc del móvil N°450 AE 136 BL Fiat Strada Working 1.4 año 2020</t>
  </si>
  <si>
    <t>Directo de Defensa Civil y Emergencias</t>
  </si>
  <si>
    <t>Veron</t>
  </si>
  <si>
    <t>Alquiler de estructura</t>
  </si>
  <si>
    <t xml:space="preserve">Alquiler de sonido, pantalla y escenario </t>
  </si>
  <si>
    <t xml:space="preserve">Carteles </t>
  </si>
  <si>
    <t>Nico DJ</t>
  </si>
  <si>
    <t xml:space="preserve">Dhow de DJ </t>
  </si>
  <si>
    <t xml:space="preserve">Pucheta Jonathan </t>
  </si>
  <si>
    <t xml:space="preserve">2 maquinas de box </t>
  </si>
  <si>
    <t xml:space="preserve">Cabinas espejadas </t>
  </si>
  <si>
    <t>campo de juego de hidrogel</t>
  </si>
  <si>
    <t xml:space="preserve">Metegol humano </t>
  </si>
  <si>
    <t>Adrian Ibarra</t>
  </si>
  <si>
    <t>MANO DE OBRA P/ MOVIL N° 443 - FIAT STRADA</t>
  </si>
  <si>
    <t> Mano de Obra p/ Móvil N°324 AB 663 RU ID N°28997</t>
  </si>
  <si>
    <t>Dirección de Protección Ciudadana</t>
  </si>
  <si>
    <t>Mano de Obra p/ Móvil N°437 AC 636 SR ID N°83573</t>
  </si>
  <si>
    <t>Mano de Obra p/ Móvil N°319 AB 663 RS ID N°28992</t>
  </si>
  <si>
    <t>Repuestos para los vehículo INT. 216,229 y 220</t>
  </si>
  <si>
    <t>Repuestos para el vehículo INT.111, Ford 4000</t>
  </si>
  <si>
    <t>Reparación del vehículo Int.37,Ford Cargo 1416</t>
  </si>
  <si>
    <t xml:space="preserve"> Reparación de Inyectores p/ Móvil N°250 AF 579 RG ID N°65391</t>
  </si>
  <si>
    <t xml:space="preserve"> Reparación del vehículo INT.197 Ford Cargo 1517, Dominio:ILE587</t>
  </si>
  <si>
    <t xml:space="preserve">Juan Ignacio Frutos </t>
  </si>
  <si>
    <t>Reparación de Móvil N°168 A163VFZ ID N°61367</t>
  </si>
  <si>
    <t>Reparación de Móvil N°328 A037JZF ID N°29009</t>
  </si>
  <si>
    <t>Provisión de martillo hidráulico p/Int. 149</t>
  </si>
  <si>
    <r>
      <t xml:space="preserve">Reparaciones p/Int. </t>
    </r>
    <r>
      <rPr>
        <sz val="11"/>
        <color rgb="FF000000"/>
        <rFont val="Calibri"/>
        <scheme val="minor"/>
      </rPr>
      <t>138</t>
    </r>
  </si>
  <si>
    <t>Reparación del los vehículos INT.38 camión Ford Cargo 1416, 46  Ford Cargo 1416 Y 8 Pala Cargadora</t>
  </si>
  <si>
    <t>Reparación de los vehículo INT. 216,222,198 Y 182</t>
  </si>
  <si>
    <t>reparación del vehículo INT.80 Motoniveladora Galion 830 Serie B año 1997</t>
  </si>
  <si>
    <t>Pedido de Reparación del vehículo INT.182, Ford Ranger 3.0</t>
  </si>
  <si>
    <t>Repuestos para los vehículos INT. 221,126 Y 138</t>
  </si>
  <si>
    <t>reparación del vehículo INT.118 Ford 4000</t>
  </si>
  <si>
    <t>MANO DE OBRA reparacion alternador movil Nº 062</t>
  </si>
  <si>
    <t>Industria</t>
  </si>
  <si>
    <t xml:space="preserve">Dir. de Prev y Control Vial </t>
  </si>
  <si>
    <t>MANO DE OBRA cambio de óptica móvil Nº 125</t>
  </si>
  <si>
    <t>Repuestos para el vehículo INT.206</t>
  </si>
  <si>
    <t>Pedido de repuestos para los vehículos INT. 182 Y 179</t>
  </si>
  <si>
    <t>repuesto para el vehículo INT. 205 Autoelevador Nissan, Dominio: BRR67</t>
  </si>
  <si>
    <t>Repuestos para los vehículos INT. 66, 118 93 Y 139</t>
  </si>
  <si>
    <t>repuestos para los vehículos INT. 93,94 Y 139</t>
  </si>
  <si>
    <t>Repuestos para los vehículos INT. 123, 30, 74 Y 121</t>
  </si>
  <si>
    <t>Repuestos para los vehículos INT. 219, 112 Y 45</t>
  </si>
  <si>
    <t>Reparación del vehículo INT.97 VW AMAROK, Dominio: NUM807</t>
  </si>
  <si>
    <t>frutos juan ignacio</t>
  </si>
  <si>
    <t>reparacion int 159</t>
  </si>
  <si>
    <t>repuestos 92</t>
  </si>
  <si>
    <t>reparacion int 7 - 387</t>
  </si>
  <si>
    <t>bomba roptativa manual para aceite de 200 lts bremen</t>
  </si>
  <si>
    <t>universo deportivo</t>
  </si>
  <si>
    <t>torfeos y medallas</t>
  </si>
  <si>
    <t xml:space="preserve">Grupo electrogeno </t>
  </si>
  <si>
    <t>Deportes</t>
  </si>
  <si>
    <t xml:space="preserve">Octubre </t>
  </si>
  <si>
    <t xml:space="preserve">alquiler de sonido </t>
  </si>
  <si>
    <t>Repuestos p/Int. 66-45-46-68-65-38- 022-348-182-181-035-178-97-103-94-139-92-91-026-87-94-33</t>
  </si>
  <si>
    <t>Repuestos p/Int. 216-4-38</t>
  </si>
  <si>
    <t>Repuestos p/Int. 66-45-45-65-37-197-199-228-232-229-385-382</t>
  </si>
  <si>
    <t xml:space="preserve">SOnido para expo municipal ONG'S </t>
  </si>
  <si>
    <t>nievas ignacio</t>
  </si>
  <si>
    <t xml:space="preserve">cpu y monitores </t>
  </si>
  <si>
    <t xml:space="preserve">Dir Judiciales </t>
  </si>
  <si>
    <t xml:space="preserve">Torneo de ajedrez </t>
  </si>
  <si>
    <t xml:space="preserve">Rotela diego </t>
  </si>
  <si>
    <t>Reparación para Planta Hormigonera de Premoldeados</t>
  </si>
  <si>
    <r>
      <t xml:space="preserve">Reparaciones p/Int. </t>
    </r>
    <r>
      <rPr>
        <sz val="12"/>
        <color rgb="FF000000"/>
        <rFont val="Calibri"/>
        <scheme val="minor"/>
      </rPr>
      <t>97-176</t>
    </r>
    <r>
      <rPr>
        <sz val="12"/>
        <color rgb="FF242424"/>
        <rFont val="Calibri"/>
        <scheme val="minor"/>
      </rPr>
      <t>-25-138-27</t>
    </r>
  </si>
  <si>
    <t>reparacion para int 177 y 68</t>
  </si>
  <si>
    <t xml:space="preserve">Juan ignacio Frutos </t>
  </si>
  <si>
    <t>Reparacion movil int 519</t>
  </si>
  <si>
    <t xml:space="preserve">Insumos tecnologicos </t>
  </si>
  <si>
    <t>Juventud</t>
  </si>
  <si>
    <t>Reparacion para ford 4000 Int 215</t>
  </si>
  <si>
    <t>Reparacion para ford 4000 Int 121</t>
  </si>
  <si>
    <t xml:space="preserve">calviello </t>
  </si>
  <si>
    <t>chombas con logo bordado frente y espalda</t>
  </si>
  <si>
    <t xml:space="preserve">Planta Dosificadora </t>
  </si>
  <si>
    <t>Repuestos p/Int. 157</t>
  </si>
  <si>
    <t xml:space="preserve">Repuestos p/Int. 206 ford cargo 1832 dominio:isk-642 </t>
  </si>
  <si>
    <t>Repuestos p/Int. 215-39-112-212-116- 217-190-66-38</t>
  </si>
  <si>
    <t>Repuestos p/Int. 7-39-495-208-233-389- 157-116-112-120</t>
  </si>
  <si>
    <t>veron-gazzano</t>
  </si>
  <si>
    <t xml:space="preserve">Escenario completo para danza folkloricas </t>
  </si>
  <si>
    <t>Dir gral y ONG</t>
  </si>
  <si>
    <t>Pedido de cuchillas para el vehículo INT.52 Motoniveladora Galion 830</t>
  </si>
  <si>
    <t>Pedido de kit de herramientas para el vehículo INT.79, Motoniveladora Galion 830</t>
  </si>
  <si>
    <t>pedido de ruedas para los vehículos internos 192 y 193 J. Deere</t>
  </si>
  <si>
    <t>Pedido de Reparación del vehículo  INT.81 ,Motoniveladora Galion 830</t>
  </si>
  <si>
    <t>pedido de interno 80 motoniveladora galion</t>
  </si>
  <si>
    <t>reparación del vehículo INT.112, Ford 4000, Dominio: ENM967</t>
  </si>
  <si>
    <t>Reparación de los vehículos Int. 233, 213,138 y 93</t>
  </si>
  <si>
    <t>Repuestos para el vehículo INT.111, Ford 4000, dominio: ENM969</t>
  </si>
  <si>
    <t>Pedido para controlar - Repuestos p/Int. 130-131-112-114-116-74-149-6-65-1-216-188-140-94-388-232-194-198-200-229-110-100-380-381-68-111-121-38-37-15</t>
  </si>
  <si>
    <t>NOVIEMBRE</t>
  </si>
  <si>
    <t xml:space="preserve">Mantenimiento de aires Com </t>
  </si>
  <si>
    <t xml:space="preserve">Centro de monitoreo </t>
  </si>
  <si>
    <t xml:space="preserve">Electrodomesticos </t>
  </si>
  <si>
    <t>Universo Dep</t>
  </si>
  <si>
    <t xml:space="preserve">Trofeos medallas </t>
  </si>
  <si>
    <t>Sonido, escenario, luces</t>
  </si>
  <si>
    <t>Morita</t>
  </si>
  <si>
    <t>Groh</t>
  </si>
  <si>
    <t xml:space="preserve">Insumos de limpieza </t>
  </si>
  <si>
    <t xml:space="preserve">POLITICAS TERRITORIALES </t>
  </si>
  <si>
    <t xml:space="preserve">Articulos de limppieza </t>
  </si>
  <si>
    <t>santiago parco</t>
  </si>
  <si>
    <r>
      <t>Mano de Obra p/ Móvil N°</t>
    </r>
    <r>
      <rPr>
        <sz val="12"/>
        <color rgb="FF000000"/>
        <rFont val="Segoe UI"/>
        <charset val="1"/>
      </rPr>
      <t>246</t>
    </r>
    <r>
      <rPr>
        <sz val="12"/>
        <color rgb="FF242424"/>
        <rFont val="Segoe UI"/>
        <charset val="1"/>
      </rPr>
      <t xml:space="preserve"> AF 579 RD ID N°65387</t>
    </r>
  </si>
  <si>
    <t xml:space="preserve">Articulos de limpieza </t>
  </si>
  <si>
    <t>Dir Defensa civil</t>
  </si>
  <si>
    <t>Repuestos para int 053</t>
  </si>
  <si>
    <t xml:space="preserve">Subse desarrollo urbano </t>
  </si>
  <si>
    <t xml:space="preserve">arti de informatica </t>
  </si>
  <si>
    <t xml:space="preserve">repuestos para tractor fiat  u25 </t>
  </si>
  <si>
    <t xml:space="preserve">DICIEMBRE </t>
  </si>
  <si>
    <t>Mano de Obra p/ Móvil N°132 OEZ 477 ID N°22505</t>
  </si>
  <si>
    <t>Dirección General de Fiscalización</t>
  </si>
  <si>
    <t xml:space="preserve">Decoracion de navidad </t>
  </si>
  <si>
    <t>Roa/Lic compartida</t>
  </si>
  <si>
    <t xml:space="preserve">Butacas para autos </t>
  </si>
  <si>
    <t xml:space="preserve">Subse. Mujer </t>
  </si>
  <si>
    <t xml:space="preserve">scoleri/Licitacion </t>
  </si>
  <si>
    <t xml:space="preserve">Insumos de luminaria </t>
  </si>
  <si>
    <t>repuestos int 208</t>
  </si>
  <si>
    <t>Enero</t>
  </si>
  <si>
    <t>repuestos int 66</t>
  </si>
  <si>
    <t xml:space="preserve">respuestos int 144, 111, 221, 218, 215, 118, 126, 123, 127, 55, 97, 45, 46, 68, 38, 66, 112 </t>
  </si>
  <si>
    <t>repuestos int 92, 90, 87, 219, 121, 348, 220, 121, 200, 69, 234, 97, 95, 188, 315</t>
  </si>
  <si>
    <t>reparacion int 137</t>
  </si>
  <si>
    <t xml:space="preserve">repuestos int varios </t>
  </si>
  <si>
    <t>repuestos int 206</t>
  </si>
  <si>
    <t>repuestos int 387</t>
  </si>
  <si>
    <t>repuestos int 112</t>
  </si>
  <si>
    <t>repuestos int 382</t>
  </si>
  <si>
    <t>repuetos int varios</t>
  </si>
  <si>
    <t>respuestos int 157</t>
  </si>
  <si>
    <t>repuestos int 181</t>
  </si>
  <si>
    <t>repuestos int 316</t>
  </si>
  <si>
    <t>respuestos int 180</t>
  </si>
  <si>
    <t xml:space="preserve">respuestos int varios </t>
  </si>
  <si>
    <t>repuestos int 138 y 93</t>
  </si>
  <si>
    <t>repuestos int 112 y 234</t>
  </si>
  <si>
    <t>repuestos int 127 y 123</t>
  </si>
  <si>
    <t>repuestos int 39</t>
  </si>
  <si>
    <t>repuestos int 66 y 79</t>
  </si>
  <si>
    <t>majuser s.a</t>
  </si>
  <si>
    <t>reparacion int varios</t>
  </si>
  <si>
    <t>reparacion RoofTop n°11, 14 y 15</t>
  </si>
  <si>
    <t xml:space="preserve">mordisco </t>
  </si>
  <si>
    <t xml:space="preserve">Alimentos para curso de gastronomia </t>
  </si>
  <si>
    <t>voltaica</t>
  </si>
  <si>
    <t>heladera con freezer telefunken 220lts</t>
  </si>
  <si>
    <t>Reparaciones Int 031-130</t>
  </si>
  <si>
    <t>Reparaciones Int 022-182</t>
  </si>
  <si>
    <t>adorno sebastian</t>
  </si>
  <si>
    <t>nivel optico bosch gold 26</t>
  </si>
  <si>
    <t>mantenimiento COM</t>
  </si>
  <si>
    <t>movimiento de equipo COM</t>
  </si>
  <si>
    <t>mantenimiento Postas Policiales</t>
  </si>
  <si>
    <t>mano de obra p/ desinstalar aire split e instalar piso techo de 15000</t>
  </si>
  <si>
    <t>pda campo y jardin</t>
  </si>
  <si>
    <t>mecanica automotor</t>
  </si>
  <si>
    <t xml:space="preserve">juan carlos quinteros </t>
  </si>
  <si>
    <t>utiles p/ las escuelas primarias</t>
  </si>
  <si>
    <t xml:space="preserve">mantenimiento aires </t>
  </si>
  <si>
    <t>gazebo 3x3</t>
  </si>
  <si>
    <t xml:space="preserve">provision de 2 aires acondicionados </t>
  </si>
  <si>
    <t>tesoreria</t>
  </si>
  <si>
    <t>Puesta en Valor p/ V.T.V. p/ Motovehículos Corven Triax 150</t>
  </si>
  <si>
    <t xml:space="preserve">Logistica vehicular </t>
  </si>
  <si>
    <t xml:space="preserve">provision de elementos presupuesto  MITRE  N° 3562.
</t>
  </si>
  <si>
    <t xml:space="preserve">provision de elementos presupuesto  MITRE  N° 3514.
</t>
  </si>
  <si>
    <t xml:space="preserve">provision de elementos presupuesto  MITRE  N° 3552.
</t>
  </si>
  <si>
    <t>Reparacion compactador dynapac dominio ayr74 int 135</t>
  </si>
  <si>
    <t>Reparacion compactador dynapac dominio ayr74 int 136</t>
  </si>
  <si>
    <t xml:space="preserve">prov de respiradores y correas. Presu N°2489 </t>
  </si>
  <si>
    <t>ucci juan jose</t>
  </si>
  <si>
    <t>limpieza 1er cuatri CDI</t>
  </si>
  <si>
    <t>mecanica automotor CME</t>
  </si>
  <si>
    <t xml:space="preserve">caja vuelta al cole </t>
  </si>
  <si>
    <t>rotela diego javier</t>
  </si>
  <si>
    <t>reparaciones de minicargadoras int 176, 123, 127, 74, 138, 388</t>
  </si>
  <si>
    <t>Febrero</t>
  </si>
  <si>
    <t>mobiliario y tecnologia faltas</t>
  </si>
  <si>
    <t>Dir. Faltas</t>
  </si>
  <si>
    <t>menaje cafeteria</t>
  </si>
  <si>
    <t xml:space="preserve">dir. gral. de obras </t>
  </si>
  <si>
    <t xml:space="preserve">universo deportivo </t>
  </si>
  <si>
    <t>material deportivo crim</t>
  </si>
  <si>
    <t>deportes</t>
  </si>
  <si>
    <t>martinez mariana</t>
  </si>
  <si>
    <t>alimentos cim y serv. local</t>
  </si>
  <si>
    <t xml:space="preserve">subse. de la mujer </t>
  </si>
  <si>
    <t>quinteros gabriel</t>
  </si>
  <si>
    <t xml:space="preserve">equipamiento de oficina </t>
  </si>
  <si>
    <t>insumos p/ cuadrilla mant. escolar</t>
  </si>
  <si>
    <t>computadoras para poli brian toledo</t>
  </si>
  <si>
    <t>menaje p/ dir. gral de obras</t>
  </si>
  <si>
    <t>dir. gral. de obras</t>
  </si>
  <si>
    <t>mobiliario y equipamiento de oficina</t>
  </si>
  <si>
    <t>faltas</t>
  </si>
  <si>
    <t>ucci juan</t>
  </si>
  <si>
    <t>limpieza CAM</t>
  </si>
  <si>
    <t>Centro de atencion municipal</t>
  </si>
  <si>
    <t xml:space="preserve">quinteros </t>
  </si>
  <si>
    <t>repuestos p/ int 149, 79, 80  y 6</t>
  </si>
  <si>
    <t>repuestos p/ int 176 y 81</t>
  </si>
  <si>
    <t>reparacion int 52 y 81</t>
  </si>
  <si>
    <t>repuestos p/ int 182, 228, 218, 213, 45, 97, 176</t>
  </si>
  <si>
    <t>reparacion int 200, 201, 178</t>
  </si>
  <si>
    <t>repuestos p/ int 194, 231, 226, 210 , 199, 65, 38, 68, ,66, 46, 35, 344</t>
  </si>
  <si>
    <t>espejos exteriores p/ int 385</t>
  </si>
  <si>
    <t>puesta en valor para VTV int 503, 193, 158, 211</t>
  </si>
  <si>
    <t>subse. de seguridad</t>
  </si>
  <si>
    <t>materiales informaticos para sala de datos</t>
  </si>
  <si>
    <t xml:space="preserve">cortadora de pelo a6 oster </t>
  </si>
  <si>
    <t>filtros p/ int 495, 496, 497, 557, 558, 559</t>
  </si>
  <si>
    <t xml:space="preserve">Sillas </t>
  </si>
  <si>
    <t xml:space="preserve">ariel pierini </t>
  </si>
  <si>
    <t xml:space="preserve">minitramps y resortes </t>
  </si>
  <si>
    <t xml:space="preserve">quinteros gabriel </t>
  </si>
  <si>
    <t xml:space="preserve">equipamiento para oficina </t>
  </si>
  <si>
    <t>arce eber ariel</t>
  </si>
  <si>
    <t>insumos para mant. en el CAM</t>
  </si>
  <si>
    <t>oskorip</t>
  </si>
  <si>
    <t xml:space="preserve">indumentaria para el same </t>
  </si>
  <si>
    <t>SAME</t>
  </si>
  <si>
    <t xml:space="preserve">Ventiladores industriales 30" </t>
  </si>
  <si>
    <t>cubierta p/ bobcat</t>
  </si>
  <si>
    <t>repuestos p/ int 231, 212, 215, 216,45 y 115</t>
  </si>
  <si>
    <t>repuestos p/ int 231, 212, 215, 216, 45 y 115</t>
  </si>
  <si>
    <t>barbieris raul</t>
  </si>
  <si>
    <t xml:space="preserve">repracion p/ int varios </t>
  </si>
  <si>
    <t xml:space="preserve">marcos de cuadros </t>
  </si>
  <si>
    <t xml:space="preserve">pc completa + monitor </t>
  </si>
  <si>
    <t>mantenimiento de aberturas</t>
  </si>
  <si>
    <t>dist. integral de maderas</t>
  </si>
  <si>
    <t>fenolicos pav x admin 120 cuadras P.O</t>
  </si>
  <si>
    <t>santero calderas</t>
  </si>
  <si>
    <t>instalacion de caldera htal. Drozdowski</t>
  </si>
  <si>
    <t>caldera p/ htal Drozdowski</t>
  </si>
  <si>
    <t>munguia rosana</t>
  </si>
  <si>
    <t>pileta quirofano + girferia p/ sector 3</t>
  </si>
  <si>
    <t>Htal. Abete</t>
  </si>
  <si>
    <t>pileta quirofano + girferia p/ sector 2</t>
  </si>
  <si>
    <t>pileta quirofano + girferia p/ sector 1</t>
  </si>
  <si>
    <t>pileta quirofano + girferia p/ sector materno</t>
  </si>
  <si>
    <t>ortega rodrigo</t>
  </si>
  <si>
    <t>insumos de ferreteria COM</t>
  </si>
  <si>
    <t xml:space="preserve">bibliotca y ventilador </t>
  </si>
  <si>
    <t>SIT</t>
  </si>
  <si>
    <t xml:space="preserve">equipamiento oficina </t>
  </si>
  <si>
    <t>presupuesto</t>
  </si>
  <si>
    <t>monitor + cable hdmi</t>
  </si>
  <si>
    <t>indumentaria y elementos de seguridad</t>
  </si>
  <si>
    <t>elementos de seguridad</t>
  </si>
  <si>
    <t xml:space="preserve">cobertizo obrador p/ exterior </t>
  </si>
  <si>
    <t>reparacion p/ int 175, 127, 74, 233 y 344</t>
  </si>
  <si>
    <t>libreria anual CDI</t>
  </si>
  <si>
    <t>jaliffi damian</t>
  </si>
  <si>
    <t xml:space="preserve">ornamentacion </t>
  </si>
  <si>
    <t>carpa tuareg</t>
  </si>
  <si>
    <t>aballay adelmo</t>
  </si>
  <si>
    <t>baterias p/ int varios</t>
  </si>
  <si>
    <t xml:space="preserve">costello </t>
  </si>
  <si>
    <t>caños de hierro, caños de pvc y fenolicos p/ paños de hormigon</t>
  </si>
  <si>
    <t xml:space="preserve">sub. secretaria de servicios </t>
  </si>
  <si>
    <t>C&amp;I Constructora</t>
  </si>
  <si>
    <t>materiales y mano de obra p/ trabajo de plomeria</t>
  </si>
  <si>
    <t>libreria CME</t>
  </si>
  <si>
    <t>manggini ulises</t>
  </si>
  <si>
    <t>fumigacion polo gastronomico</t>
  </si>
  <si>
    <t>mobiliario centro cultural T.A</t>
  </si>
  <si>
    <t>aire acondicionado 6000frg CCTA</t>
  </si>
  <si>
    <t>camas reforzadas de pino</t>
  </si>
  <si>
    <t>baez silvia</t>
  </si>
  <si>
    <t>bolsas de polietileno verdes 70x90 de 40 micrones</t>
  </si>
  <si>
    <t>energias alternativas</t>
  </si>
  <si>
    <t>division y reacondicionamiento de oficina</t>
  </si>
  <si>
    <t>CCA</t>
  </si>
  <si>
    <t>arreglo plomeria sector cocina htal abete</t>
  </si>
  <si>
    <t>indumentaria</t>
  </si>
  <si>
    <t xml:space="preserve">dir. de cementerio </t>
  </si>
  <si>
    <t>perforacion y materiales campo russo</t>
  </si>
  <si>
    <t>materiales varios drozdowski y polo</t>
  </si>
  <si>
    <t>materiales varios trauma</t>
  </si>
  <si>
    <t>heladera exibidora de 2 puertas</t>
  </si>
  <si>
    <t>freezer horizontal 299lts ENOVA</t>
  </si>
  <si>
    <t>Cristales Mitre</t>
  </si>
  <si>
    <t>Repuestos para vehiculo Int 14 Dom KGB954</t>
  </si>
  <si>
    <t xml:space="preserve">Marzo </t>
  </si>
  <si>
    <t>nievas  ignacio</t>
  </si>
  <si>
    <t>politica local</t>
  </si>
  <si>
    <t xml:space="preserve">dir. legal y tecnica </t>
  </si>
  <si>
    <t>repuestos int 498</t>
  </si>
  <si>
    <t>repuestos int 429</t>
  </si>
  <si>
    <t>raparacion int 166</t>
  </si>
  <si>
    <t>reparacion p/int 236, 188 y 191</t>
  </si>
  <si>
    <t xml:space="preserve">constructora sidco </t>
  </si>
  <si>
    <t>cambio de reguladores sala "quesada pacheco"</t>
  </si>
  <si>
    <t xml:space="preserve">sillas de escritorio </t>
  </si>
  <si>
    <t xml:space="preserve">ropa y elementos de seguridad </t>
  </si>
  <si>
    <t>Repuestos p/Int. 231-171-68-38-379- 390-344-230</t>
  </si>
  <si>
    <t>Repuestos p/Chipeadora e Int. 026-93-45- 229-231-101-68</t>
  </si>
  <si>
    <t>Reparaciones p/Int. 180-80</t>
  </si>
  <si>
    <t>Reparaciones p/Int. 81</t>
  </si>
  <si>
    <t>Repuestos p/Int. 149-175-176-329-330</t>
  </si>
  <si>
    <t>Reparaciones p/Int. 182</t>
  </si>
  <si>
    <t>Reparaciones Int 035</t>
  </si>
  <si>
    <t>fumigacion gendarmeria</t>
  </si>
  <si>
    <t xml:space="preserve">Antagli y mangini </t>
  </si>
  <si>
    <t>reparación del vehículo INT.186 PARTNER</t>
  </si>
  <si>
    <t>repuestos de los vehículos INT. 111,112,265,225,194,232,201,38,79,81,388,281,15 y 383</t>
  </si>
  <si>
    <t xml:space="preserve">Revision y mant en aires de cca </t>
  </si>
  <si>
    <t xml:space="preserve">CCA </t>
  </si>
  <si>
    <t>PDA</t>
  </si>
  <si>
    <t>Herramientas para el 5to cursod e hortalizas</t>
  </si>
  <si>
    <t>Subse Medio ambiente</t>
  </si>
  <si>
    <t>Roa</t>
  </si>
  <si>
    <t xml:space="preserve">Mat para mantenimiendo de equipos medicos </t>
  </si>
  <si>
    <t xml:space="preserve">Carlini </t>
  </si>
  <si>
    <t xml:space="preserve">division inter oficina con blindex </t>
  </si>
  <si>
    <t>Dir Gral. Desarrollo Eco.</t>
  </si>
  <si>
    <t>epuestos de los vehículos internos N°197,116,115,118,221,229,199,200,228,66,219,186,112,214,121,97,102,136,55,231 y 38</t>
  </si>
  <si>
    <t xml:space="preserve">Mant para vehiculo N377 AC090NV Renault Kango </t>
  </si>
  <si>
    <t xml:space="preserve">Dir Gral. de Cultura </t>
  </si>
  <si>
    <t>indumentaria para ulg</t>
  </si>
  <si>
    <t>dir. gral. de coordinacion</t>
  </si>
  <si>
    <t>olocaciones de parabrisas de los vehículos internos 217,115,231 y 385</t>
  </si>
  <si>
    <t>repuestos de los vehículos internos 387,7,167,022,162,112,38,199,196,123,127 y 196</t>
  </si>
  <si>
    <t xml:space="preserve">horce </t>
  </si>
  <si>
    <t xml:space="preserve"> Mano de Obra de Chapa y Pintura p/ Móvil N°332 AB 474</t>
  </si>
  <si>
    <t xml:space="preserve">Dir. contro de logistica vehicular </t>
  </si>
  <si>
    <t>Rotela diego</t>
  </si>
  <si>
    <t>REACONDICIONADO DE CARDAN P/ MOVIL INT. 62</t>
  </si>
  <si>
    <t>Sec. Prod. e Indu.</t>
  </si>
  <si>
    <t>reparación del vehículo INT.138 .F .Cargo 2631</t>
  </si>
  <si>
    <t>Reparación de los vehículos internos 175,136 y 186</t>
  </si>
  <si>
    <t>reparacion int 121</t>
  </si>
  <si>
    <t>reparacion int 131</t>
  </si>
  <si>
    <t>tubos uvb wallman</t>
  </si>
  <si>
    <t>ploteo vehicular int 368</t>
  </si>
  <si>
    <t>ploteo vehicular int 481</t>
  </si>
  <si>
    <t>repuestos int 67</t>
  </si>
  <si>
    <t>repuestos int 545</t>
  </si>
  <si>
    <t xml:space="preserve">leyro atilio </t>
  </si>
  <si>
    <t>reparacion int 275, 276, 277 y 278</t>
  </si>
  <si>
    <t>ploteo vehicular int 457</t>
  </si>
  <si>
    <t>repuestos int 116, 123, 127, 389 y 228</t>
  </si>
  <si>
    <t xml:space="preserve">materiales para mentenimiento </t>
  </si>
  <si>
    <t>logistica hospitalaria</t>
  </si>
  <si>
    <t xml:space="preserve">M2R </t>
  </si>
  <si>
    <t>alquiler de inflable p/ bike fest</t>
  </si>
  <si>
    <t>pencoff maximiliano</t>
  </si>
  <si>
    <t>inusmos para huevos de pascua CME</t>
  </si>
  <si>
    <t>centro municipal de estudios</t>
  </si>
  <si>
    <t>insumos para masteclass de pascuas</t>
  </si>
  <si>
    <t>ampliacion mobiliario faltas</t>
  </si>
  <si>
    <t>repuestos int 544</t>
  </si>
  <si>
    <t>reparacion int 96, 103, 35 y 233</t>
  </si>
  <si>
    <t>repuestos y mano de obra int 302</t>
  </si>
  <si>
    <t>logisitica hospitalaria</t>
  </si>
  <si>
    <t>repuestos int 66 y 112</t>
  </si>
  <si>
    <t>repuestos int 188,95,96, 102, 33,316 y 91</t>
  </si>
  <si>
    <t>repuestos int 97, 92, 94, 87 y 93</t>
  </si>
  <si>
    <t>repuestos int 97,140,103,214,118,115,112,116,95,385,386,390,382,389,387 y 388</t>
  </si>
  <si>
    <t>repuestos int 232 y 214</t>
  </si>
  <si>
    <t>reparacion int 26</t>
  </si>
  <si>
    <t>ploteo vehicular int 368, 543 y 493</t>
  </si>
  <si>
    <t>repuesto int 231</t>
  </si>
  <si>
    <t>reparacion int 111</t>
  </si>
  <si>
    <t>reparacion int 182</t>
  </si>
  <si>
    <t>baterias 12v x 85amp int 323</t>
  </si>
  <si>
    <t xml:space="preserve">logisitica vehicular </t>
  </si>
  <si>
    <t xml:space="preserve">ploteo vehicular int 427, 419, 410 y 446 </t>
  </si>
  <si>
    <t>ploteo vehicular int 273, 274 y 275</t>
  </si>
  <si>
    <t>repuestos int varios</t>
  </si>
  <si>
    <t>insumos para pañol</t>
  </si>
  <si>
    <t>reparacion int 319</t>
  </si>
  <si>
    <t>reparacion int 51 y 222</t>
  </si>
  <si>
    <t>reparacion int 228</t>
  </si>
  <si>
    <t>reparacion int 221</t>
  </si>
  <si>
    <t>Garcia Diego</t>
  </si>
  <si>
    <t>Servicio de fumigacion Galpon 14</t>
  </si>
  <si>
    <t>Servicio de fumigacion COM</t>
  </si>
  <si>
    <t xml:space="preserve">gendarmeria </t>
  </si>
  <si>
    <t>reforma planta superior del HCD</t>
  </si>
  <si>
    <t>Abril</t>
  </si>
  <si>
    <t>reparacion int 485</t>
  </si>
  <si>
    <t>reparacion int 67</t>
  </si>
  <si>
    <t>insumos electricos para tablero</t>
  </si>
  <si>
    <t xml:space="preserve">salud </t>
  </si>
  <si>
    <t xml:space="preserve">oftalmologia </t>
  </si>
  <si>
    <t>materiales para hospital evita</t>
  </si>
  <si>
    <t>obras municipales</t>
  </si>
  <si>
    <t>repuestos int 55, 97, 381, 382, 236 y 199</t>
  </si>
  <si>
    <t xml:space="preserve">repuestos int 95, 182, 263 y 27 </t>
  </si>
  <si>
    <t>repuestos int 45, 198, 196, 100, 103m, 180 y 138</t>
  </si>
  <si>
    <t>repuestos int 22</t>
  </si>
  <si>
    <t>repuestos int 29</t>
  </si>
  <si>
    <t>repuestos int 229</t>
  </si>
  <si>
    <t xml:space="preserve">materiales p/ primera mitad del año </t>
  </si>
  <si>
    <t xml:space="preserve">direccion de servicios </t>
  </si>
  <si>
    <t xml:space="preserve">cafetera electrica </t>
  </si>
  <si>
    <t>subsecretaria de gobierno</t>
  </si>
  <si>
    <t xml:space="preserve">retiro y colocacion de tapas de cemento </t>
  </si>
  <si>
    <t>subse de la mujer</t>
  </si>
  <si>
    <t xml:space="preserve">mallas de hierro para pavimentos </t>
  </si>
  <si>
    <t>subsecretaria de obras</t>
  </si>
  <si>
    <t>k19/garcia</t>
  </si>
  <si>
    <t>fumigacion poli grand bourg</t>
  </si>
  <si>
    <t>(Todas)</t>
  </si>
  <si>
    <t>Suma de Saldo de diferencia</t>
  </si>
  <si>
    <t xml:space="preserve">Suma de Precio Inicial </t>
  </si>
  <si>
    <t>Suma de Precio Final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</si>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</sst>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[$$-409]* #,##0.00_ ;_-[$$-409]* \-#,##0.00\ ;_-[$$-409]* &quot;-&quot;??_ ;_-@_ "/>
    <numFmt numFmtId="166" formatCode="[$-C0A]mmmm\-yy;@"/>
    <numFmt numFmtId="167" formatCode="[$$-2C0A]\ #,##0.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sz val="12"/>
      <color rgb="FF242424"/>
      <name val="Calibri Light"/>
      <scheme val="major"/>
    </font>
    <font>
      <sz val="12"/>
      <color rgb="FF000000"/>
      <name val="Aptos"/>
      <charset val="1"/>
    </font>
    <font>
      <sz val="11"/>
      <color rgb="FF242424"/>
      <name val="Calibri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sz val="12"/>
      <color theme="1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Aptos"/>
      <charset val="1"/>
    </font>
    <font>
      <sz val="12"/>
      <color rgb="FF242424"/>
      <name val="Calibri"/>
      <scheme val="minor"/>
    </font>
    <font>
      <sz val="12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Segoe UI"/>
      <charset val="1"/>
    </font>
    <font>
      <sz val="12"/>
      <color rgb="FF242424"/>
      <name val="Segoe UI"/>
      <charset val="1"/>
    </font>
    <font>
      <sz val="10"/>
      <color theme="1"/>
      <name val="Calibri"/>
      <family val="2"/>
      <scheme val="minor"/>
    </font>
    <font>
      <sz val="10"/>
      <color rgb="FF242424"/>
      <name val="Segoe UI"/>
      <charset val="1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9">
    <xf numFmtId="0" fontId="0" fillId="0" borderId="0" xfId="0"/>
    <xf numFmtId="9" fontId="0" fillId="0" borderId="3" xfId="2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8" xfId="2" applyFont="1" applyBorder="1" applyAlignment="1">
      <alignment horizontal="center" vertical="center"/>
    </xf>
    <xf numFmtId="164" fontId="0" fillId="0" borderId="0" xfId="0" applyNumberFormat="1"/>
    <xf numFmtId="9" fontId="0" fillId="3" borderId="10" xfId="2" applyFont="1" applyFill="1" applyBorder="1" applyAlignment="1">
      <alignment horizontal="center" vertical="center"/>
    </xf>
    <xf numFmtId="0" fontId="0" fillId="3" borderId="10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1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3" borderId="10" xfId="1" applyFont="1" applyFill="1" applyBorder="1" applyAlignment="1">
      <alignment horizontal="center" vertical="center"/>
    </xf>
    <xf numFmtId="164" fontId="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8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0" fillId="0" borderId="0" xfId="0" applyNumberFormat="1"/>
    <xf numFmtId="165" fontId="0" fillId="0" borderId="0" xfId="0" applyNumberFormat="1"/>
    <xf numFmtId="0" fontId="0" fillId="0" borderId="10" xfId="0" applyBorder="1" applyAlignment="1">
      <alignment horizontal="left" vertical="center"/>
    </xf>
    <xf numFmtId="164" fontId="0" fillId="0" borderId="10" xfId="1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164" fontId="0" fillId="2" borderId="10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6" xfId="1" applyFont="1" applyBorder="1" applyAlignment="1">
      <alignment horizontal="center" vertical="center"/>
    </xf>
    <xf numFmtId="165" fontId="0" fillId="3" borderId="10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5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164" fontId="0" fillId="0" borderId="0" xfId="1" applyFont="1" applyBorder="1" applyAlignment="1">
      <alignment horizontal="center" vertical="center"/>
    </xf>
    <xf numFmtId="165" fontId="0" fillId="3" borderId="17" xfId="0" applyNumberForma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9" fontId="0" fillId="0" borderId="6" xfId="2" applyFont="1" applyBorder="1" applyAlignment="1">
      <alignment horizontal="center" vertical="center"/>
    </xf>
    <xf numFmtId="0" fontId="0" fillId="0" borderId="0" xfId="0" pivotButton="1"/>
    <xf numFmtId="17" fontId="0" fillId="3" borderId="10" xfId="0" applyNumberFormat="1" applyFill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3" fillId="4" borderId="10" xfId="0" applyNumberFormat="1" applyFont="1" applyFill="1" applyBorder="1" applyAlignment="1">
      <alignment horizontal="center" vertical="center"/>
    </xf>
    <xf numFmtId="164" fontId="3" fillId="0" borderId="10" xfId="1" applyFont="1" applyBorder="1" applyAlignment="1">
      <alignment horizontal="center" vertical="center"/>
    </xf>
    <xf numFmtId="0" fontId="3" fillId="0" borderId="10" xfId="0" applyFont="1" applyBorder="1" applyAlignment="1">
      <alignment horizontal="right" vertical="center"/>
    </xf>
    <xf numFmtId="0" fontId="0" fillId="0" borderId="10" xfId="0" applyBorder="1"/>
    <xf numFmtId="165" fontId="0" fillId="0" borderId="10" xfId="0" applyNumberFormat="1" applyBorder="1"/>
    <xf numFmtId="0" fontId="0" fillId="0" borderId="18" xfId="0" applyBorder="1"/>
    <xf numFmtId="165" fontId="0" fillId="0" borderId="18" xfId="0" applyNumberFormat="1" applyBorder="1"/>
    <xf numFmtId="164" fontId="0" fillId="0" borderId="2" xfId="1" applyFont="1" applyBorder="1" applyAlignment="1">
      <alignment horizontal="center" vertical="center"/>
    </xf>
    <xf numFmtId="0" fontId="6" fillId="0" borderId="0" xfId="0" applyFont="1"/>
    <xf numFmtId="0" fontId="0" fillId="0" borderId="17" xfId="0" applyBorder="1"/>
    <xf numFmtId="165" fontId="0" fillId="0" borderId="17" xfId="0" applyNumberFormat="1" applyBorder="1"/>
    <xf numFmtId="9" fontId="0" fillId="2" borderId="1" xfId="2" applyFont="1" applyFill="1" applyBorder="1" applyAlignment="1">
      <alignment horizontal="center" vertical="center"/>
    </xf>
    <xf numFmtId="0" fontId="7" fillId="0" borderId="0" xfId="0" applyFont="1"/>
    <xf numFmtId="0" fontId="7" fillId="0" borderId="10" xfId="0" applyFont="1" applyBorder="1"/>
    <xf numFmtId="0" fontId="7" fillId="0" borderId="17" xfId="0" applyFont="1" applyBorder="1"/>
    <xf numFmtId="0" fontId="0" fillId="0" borderId="19" xfId="0" applyBorder="1"/>
    <xf numFmtId="165" fontId="0" fillId="0" borderId="14" xfId="0" applyNumberFormat="1" applyBorder="1"/>
    <xf numFmtId="165" fontId="0" fillId="0" borderId="15" xfId="0" applyNumberFormat="1" applyBorder="1"/>
    <xf numFmtId="9" fontId="3" fillId="2" borderId="1" xfId="2" applyFont="1" applyFill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10" fillId="0" borderId="1" xfId="0" applyFont="1" applyBorder="1"/>
    <xf numFmtId="0" fontId="9" fillId="0" borderId="26" xfId="0" applyFont="1" applyBorder="1"/>
    <xf numFmtId="0" fontId="9" fillId="0" borderId="0" xfId="0" applyFont="1"/>
    <xf numFmtId="0" fontId="11" fillId="0" borderId="0" xfId="0" applyFont="1"/>
    <xf numFmtId="0" fontId="12" fillId="0" borderId="0" xfId="0" applyFont="1"/>
    <xf numFmtId="9" fontId="0" fillId="0" borderId="9" xfId="2" applyFont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165" fontId="0" fillId="0" borderId="24" xfId="0" applyNumberFormat="1" applyBorder="1"/>
    <xf numFmtId="165" fontId="0" fillId="0" borderId="20" xfId="0" applyNumberFormat="1" applyBorder="1"/>
    <xf numFmtId="164" fontId="0" fillId="0" borderId="18" xfId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" fontId="0" fillId="0" borderId="6" xfId="0" applyNumberFormat="1" applyBorder="1" applyAlignment="1">
      <alignment horizontal="center" vertical="center"/>
    </xf>
    <xf numFmtId="0" fontId="8" fillId="0" borderId="10" xfId="0" applyFont="1" applyBorder="1" applyAlignment="1">
      <alignment horizontal="center"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4" fillId="0" borderId="0" xfId="0" applyFont="1"/>
    <xf numFmtId="0" fontId="14" fillId="0" borderId="10" xfId="0" applyFont="1" applyBorder="1"/>
    <xf numFmtId="0" fontId="0" fillId="0" borderId="11" xfId="0" applyBorder="1"/>
    <xf numFmtId="0" fontId="0" fillId="0" borderId="27" xfId="0" applyBorder="1" applyAlignment="1">
      <alignment horizontal="center" vertical="center"/>
    </xf>
    <xf numFmtId="0" fontId="9" fillId="0" borderId="10" xfId="0" applyFont="1" applyBorder="1"/>
    <xf numFmtId="0" fontId="15" fillId="0" borderId="10" xfId="0" applyFont="1" applyBorder="1"/>
    <xf numFmtId="0" fontId="14" fillId="0" borderId="10" xfId="0" applyFont="1" applyBorder="1" applyAlignment="1">
      <alignment wrapText="1"/>
    </xf>
    <xf numFmtId="0" fontId="9" fillId="0" borderId="17" xfId="0" applyFont="1" applyBorder="1"/>
    <xf numFmtId="0" fontId="18" fillId="0" borderId="0" xfId="0" applyFont="1"/>
    <xf numFmtId="165" fontId="0" fillId="0" borderId="11" xfId="0" applyNumberFormat="1" applyBorder="1"/>
    <xf numFmtId="165" fontId="0" fillId="0" borderId="13" xfId="0" applyNumberFormat="1" applyBorder="1"/>
    <xf numFmtId="0" fontId="20" fillId="0" borderId="0" xfId="0" applyFont="1"/>
    <xf numFmtId="166" fontId="0" fillId="0" borderId="0" xfId="0" applyNumberFormat="1"/>
    <xf numFmtId="45" fontId="0" fillId="0" borderId="1" xfId="0" applyNumberFormat="1" applyBorder="1" applyAlignment="1">
      <alignment horizontal="center" vertical="center"/>
    </xf>
    <xf numFmtId="45" fontId="0" fillId="0" borderId="3" xfId="0" applyNumberFormat="1" applyBorder="1" applyAlignment="1">
      <alignment horizontal="center" vertical="center"/>
    </xf>
    <xf numFmtId="45" fontId="0" fillId="0" borderId="6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0" xfId="0" applyNumberFormat="1"/>
    <xf numFmtId="17" fontId="0" fillId="0" borderId="17" xfId="0" applyNumberFormat="1" applyBorder="1" applyAlignment="1">
      <alignment vertical="center"/>
    </xf>
    <xf numFmtId="17" fontId="0" fillId="0" borderId="17" xfId="0" applyNumberFormat="1" applyBorder="1" applyAlignment="1">
      <alignment vertical="center" wrapText="1"/>
    </xf>
    <xf numFmtId="17" fontId="0" fillId="0" borderId="21" xfId="0" applyNumberFormat="1" applyBorder="1" applyAlignment="1">
      <alignment vertical="center"/>
    </xf>
    <xf numFmtId="17" fontId="0" fillId="0" borderId="23" xfId="0" applyNumberFormat="1" applyBorder="1" applyAlignment="1">
      <alignment vertical="center"/>
    </xf>
    <xf numFmtId="166" fontId="0" fillId="0" borderId="0" xfId="0" pivotButton="1" applyNumberFormat="1"/>
    <xf numFmtId="9" fontId="0" fillId="2" borderId="10" xfId="2" applyFont="1" applyFill="1" applyBorder="1" applyAlignment="1">
      <alignment horizontal="center" vertical="center"/>
    </xf>
    <xf numFmtId="14" fontId="0" fillId="0" borderId="0" xfId="0" applyNumberFormat="1"/>
    <xf numFmtId="45" fontId="0" fillId="0" borderId="9" xfId="0" applyNumberFormat="1" applyBorder="1" applyAlignment="1">
      <alignment horizontal="center" vertical="center"/>
    </xf>
    <xf numFmtId="45" fontId="19" fillId="0" borderId="4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3" fillId="4" borderId="0" xfId="0" applyNumberFormat="1" applyFont="1" applyFill="1" applyAlignment="1">
      <alignment vertical="center"/>
    </xf>
    <xf numFmtId="164" fontId="0" fillId="0" borderId="6" xfId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17" fontId="0" fillId="0" borderId="3" xfId="0" applyNumberFormat="1" applyBorder="1" applyAlignment="1">
      <alignment horizontal="center" vertical="center"/>
    </xf>
    <xf numFmtId="165" fontId="3" fillId="4" borderId="21" xfId="0" applyNumberFormat="1" applyFont="1" applyFill="1" applyBorder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165" fontId="3" fillId="4" borderId="10" xfId="0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165" fontId="3" fillId="4" borderId="17" xfId="0" applyNumberFormat="1" applyFont="1" applyFill="1" applyBorder="1" applyAlignment="1">
      <alignment horizontal="center" vertical="center"/>
    </xf>
    <xf numFmtId="165" fontId="3" fillId="4" borderId="19" xfId="0" applyNumberFormat="1" applyFont="1" applyFill="1" applyBorder="1" applyAlignment="1">
      <alignment horizontal="center" vertical="center"/>
    </xf>
    <xf numFmtId="165" fontId="3" fillId="4" borderId="18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5" fontId="3" fillId="3" borderId="0" xfId="0" applyNumberFormat="1" applyFont="1" applyFill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165" fontId="3" fillId="4" borderId="15" xfId="0" applyNumberFormat="1" applyFont="1" applyFill="1" applyBorder="1" applyAlignment="1">
      <alignment horizontal="center" vertical="center"/>
    </xf>
    <xf numFmtId="165" fontId="3" fillId="4" borderId="20" xfId="0" applyNumberFormat="1" applyFont="1" applyFill="1" applyBorder="1" applyAlignment="1">
      <alignment horizontal="center" vertical="center"/>
    </xf>
    <xf numFmtId="165" fontId="3" fillId="4" borderId="10" xfId="0" applyNumberFormat="1" applyFont="1" applyFill="1" applyBorder="1" applyAlignment="1">
      <alignment horizontal="center" vertical="center" wrapText="1"/>
    </xf>
    <xf numFmtId="165" fontId="16" fillId="4" borderId="17" xfId="0" applyNumberFormat="1" applyFont="1" applyFill="1" applyBorder="1" applyAlignment="1">
      <alignment horizontal="center" vertical="center"/>
    </xf>
    <xf numFmtId="165" fontId="16" fillId="4" borderId="19" xfId="0" applyNumberFormat="1" applyFont="1" applyFill="1" applyBorder="1" applyAlignment="1">
      <alignment horizontal="center" vertical="center"/>
    </xf>
    <xf numFmtId="165" fontId="16" fillId="4" borderId="18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165" fontId="3" fillId="4" borderId="10" xfId="0" applyNumberFormat="1" applyFont="1" applyFill="1" applyBorder="1" applyAlignment="1">
      <alignment vertical="center"/>
    </xf>
    <xf numFmtId="165" fontId="0" fillId="4" borderId="10" xfId="0" applyNumberFormat="1" applyFill="1" applyBorder="1" applyAlignment="1">
      <alignment horizontal="center" vertical="center"/>
    </xf>
    <xf numFmtId="45" fontId="4" fillId="3" borderId="10" xfId="0" applyNumberFormat="1" applyFont="1" applyFill="1" applyBorder="1" applyAlignment="1">
      <alignment horizontal="center" vertical="center"/>
    </xf>
    <xf numFmtId="164" fontId="3" fillId="3" borderId="10" xfId="1" applyFont="1" applyFill="1" applyBorder="1" applyAlignment="1">
      <alignment horizontal="center" vertical="center"/>
    </xf>
    <xf numFmtId="165" fontId="3" fillId="4" borderId="17" xfId="0" applyNumberFormat="1" applyFont="1" applyFill="1" applyBorder="1" applyAlignment="1">
      <alignment horizontal="center" vertical="center" wrapText="1"/>
    </xf>
    <xf numFmtId="165" fontId="3" fillId="4" borderId="19" xfId="0" applyNumberFormat="1" applyFont="1" applyFill="1" applyBorder="1" applyAlignment="1">
      <alignment horizontal="center" vertical="center" wrapText="1"/>
    </xf>
    <xf numFmtId="165" fontId="3" fillId="4" borderId="18" xfId="0" applyNumberFormat="1" applyFont="1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45" fontId="3" fillId="3" borderId="12" xfId="0" applyNumberFormat="1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164" fontId="3" fillId="3" borderId="0" xfId="1" applyFont="1" applyFill="1" applyBorder="1" applyAlignment="1">
      <alignment horizontal="center" vertical="center"/>
    </xf>
    <xf numFmtId="164" fontId="3" fillId="3" borderId="24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164" fontId="1" fillId="0" borderId="10" xfId="1" applyFont="1" applyBorder="1" applyAlignment="1">
      <alignment horizontal="center" vertical="center"/>
    </xf>
    <xf numFmtId="9" fontId="1" fillId="0" borderId="10" xfId="2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15"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7" formatCode="[$$-2C0A]\ #,##0.00"/>
    </dxf>
    <dxf>
      <numFmt numFmtId="166" formatCode="[$-C0A]mmmm\-yy;@"/>
    </dxf>
    <dxf>
      <numFmt numFmtId="166" formatCode="[$-C0A]mmmm\-yy;@"/>
    </dxf>
  </dxfs>
  <tableStyles count="0" defaultTableStyle="TableStyleMedium2" defaultPivotStyle="PivotStyleLight16"/>
  <colors>
    <mruColors>
      <color rgb="FFB67DF0"/>
      <color rgb="FFFFFFFF"/>
      <color rgb="FFF8CBAD"/>
      <color rgb="FF953EED"/>
      <color rgb="FFCAFAF8"/>
      <color rgb="FFD8D4FF"/>
      <color rgb="FFF5C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[comparativa de precios.xlsx]Torta Comparativa 2024!TablaDinámica1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Suma de Saldo de diferencia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9525"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AFAF8"/>
          </a:solidFill>
          <a:ln w="9525">
            <a:solidFill>
              <a:srgbClr val="0D0D0D"/>
            </a:solidFill>
            <a:prstDash val="solid"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marzo                                                                                       $ 275.379.557,13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rgbClr val="F5C5FC"/>
          </a:solidFill>
          <a:ln w="9525">
            <a:solidFill>
              <a:srgbClr val="0D0D0D"/>
            </a:solidFill>
            <a:prstDash val="solid"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febrero                                                                                    $ 33.353.068,83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A9D08E"/>
          </a:solidFill>
          <a:ln w="9525">
            <a:solidFill>
              <a:srgbClr val="0D0D0D"/>
            </a:solidFill>
            <a:prstDash val="solid"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diciembre                                                                                              $ 7.401.445,40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D8D4FF"/>
          </a:solidFill>
          <a:ln w="9525">
            <a:solidFill>
              <a:srgbClr val="0D0D0D"/>
            </a:solidFill>
            <a:prstDash val="solid"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noviembre                                                                                 $ 19.434.904,55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8EA9DB"/>
          </a:solidFill>
          <a:ln w="9525">
            <a:solidFill>
              <a:srgbClr val="0D0D0D"/>
            </a:solidFill>
            <a:prstDash val="solid"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octubre                                                                                               $ 55.794.224,00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AEAAAA"/>
          </a:solidFill>
          <a:ln w="9525">
            <a:solidFill>
              <a:srgbClr val="0D0D0D"/>
            </a:solidFill>
            <a:prstDash val="solid"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septiembre                                                        $ 7.091.438,00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F8CBAD"/>
          </a:solidFill>
          <a:ln w="9525">
            <a:solidFill>
              <a:srgbClr val="0D0D0D"/>
            </a:solidFill>
            <a:prstDash val="solid"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agosto                                                                                  $ 18.515.720,00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FFE699"/>
          </a:solidFill>
          <a:ln w="9525">
            <a:solidFill>
              <a:srgbClr val="0D0D0D"/>
            </a:solidFill>
            <a:prstDash val="solid"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julio                                                                                       $ 18.530.377,52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rgbClr val="C9C9C9"/>
          </a:solidFill>
          <a:ln w="9525">
            <a:solidFill>
              <a:srgbClr val="0D0D0D"/>
            </a:solidFill>
            <a:prstDash val="solid"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junio                                                                                  $ 24.943.493,34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rgbClr val="BDD7EE"/>
          </a:solidFill>
          <a:ln w="9525">
            <a:solidFill>
              <a:srgbClr val="0D0D0D"/>
            </a:solidFill>
            <a:prstDash val="solid"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mayo                                                                                               $ 31.699.128,09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rgbClr val="C6E0B4"/>
          </a:solidFill>
          <a:ln w="9525">
            <a:solidFill>
              <a:srgbClr val="0D0D0D"/>
            </a:solidFill>
            <a:prstDash val="solid"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abril                                                                                       $ 16.159.504,92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'Torta Comparativa 2024'!$B$4</c:f>
              <c:strCache>
                <c:ptCount val="1"/>
                <c:pt idx="0">
                  <c:v>Suma de Saldo de diferencia</c:v>
                </c:pt>
              </c:strCache>
            </c:strRef>
          </c:tx>
          <c:spPr>
            <a:ln w="9525">
              <a:solidFill>
                <a:srgbClr val="0D0D0D"/>
              </a:solidFill>
              <a:prstDash val="solid"/>
            </a:ln>
          </c:spPr>
          <c:dPt>
            <c:idx val="0"/>
            <c:bubble3D val="0"/>
            <c:spPr>
              <a:solidFill>
                <a:srgbClr val="F5C5FC"/>
              </a:solidFill>
              <a:ln w="9525"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2A63-4807-8D3D-E2C19FDAE368}"/>
              </c:ext>
            </c:extLst>
          </c:dPt>
          <c:dPt>
            <c:idx val="1"/>
            <c:bubble3D val="0"/>
            <c:spPr>
              <a:solidFill>
                <a:srgbClr val="CAFAF8"/>
              </a:solidFill>
              <a:ln w="9525"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63-4807-8D3D-E2C19FDAE368}"/>
              </c:ext>
            </c:extLst>
          </c:dPt>
          <c:dPt>
            <c:idx val="2"/>
            <c:bubble3D val="0"/>
            <c:spPr>
              <a:solidFill>
                <a:srgbClr val="C6E0B4"/>
              </a:solidFill>
              <a:ln w="9525"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2A63-4807-8D3D-E2C19FDAE368}"/>
              </c:ext>
            </c:extLst>
          </c:dPt>
          <c:dPt>
            <c:idx val="3"/>
            <c:bubble3D val="0"/>
            <c:spPr>
              <a:solidFill>
                <a:srgbClr val="BDD7EE"/>
              </a:solidFill>
              <a:ln w="9525"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2A63-4807-8D3D-E2C19FDAE368}"/>
              </c:ext>
            </c:extLst>
          </c:dPt>
          <c:dPt>
            <c:idx val="4"/>
            <c:bubble3D val="0"/>
            <c:spPr>
              <a:solidFill>
                <a:srgbClr val="C9C9C9"/>
              </a:solidFill>
              <a:ln w="9525"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2A63-4807-8D3D-E2C19FDAE368}"/>
              </c:ext>
            </c:extLst>
          </c:dPt>
          <c:dPt>
            <c:idx val="5"/>
            <c:bubble3D val="0"/>
            <c:spPr>
              <a:solidFill>
                <a:srgbClr val="FFE699"/>
              </a:solidFill>
              <a:ln w="9525"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2A63-4807-8D3D-E2C19FDAE368}"/>
              </c:ext>
            </c:extLst>
          </c:dPt>
          <c:dPt>
            <c:idx val="6"/>
            <c:bubble3D val="0"/>
            <c:spPr>
              <a:solidFill>
                <a:srgbClr val="F8CBAD"/>
              </a:solidFill>
              <a:ln w="9525"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2A63-4807-8D3D-E2C19FDAE368}"/>
              </c:ext>
            </c:extLst>
          </c:dPt>
          <c:dPt>
            <c:idx val="7"/>
            <c:bubble3D val="0"/>
            <c:spPr>
              <a:solidFill>
                <a:srgbClr val="AEAAAA"/>
              </a:solidFill>
              <a:ln w="9525"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2A63-4807-8D3D-E2C19FDAE368}"/>
              </c:ext>
            </c:extLst>
          </c:dPt>
          <c:dPt>
            <c:idx val="8"/>
            <c:bubble3D val="0"/>
            <c:spPr>
              <a:solidFill>
                <a:srgbClr val="8EA9DB"/>
              </a:solidFill>
              <a:ln w="9525"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2A63-4807-8D3D-E2C19FDAE368}"/>
              </c:ext>
            </c:extLst>
          </c:dPt>
          <c:dPt>
            <c:idx val="9"/>
            <c:bubble3D val="0"/>
            <c:spPr>
              <a:solidFill>
                <a:srgbClr val="D8D4FF"/>
              </a:solidFill>
              <a:ln w="9525"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2A63-4807-8D3D-E2C19FDAE368}"/>
              </c:ext>
            </c:extLst>
          </c:dPt>
          <c:dPt>
            <c:idx val="10"/>
            <c:bubble3D val="0"/>
            <c:spPr>
              <a:solidFill>
                <a:srgbClr val="A9D08E"/>
              </a:solidFill>
              <a:ln w="9525"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63-4807-8D3D-E2C19FDAE36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febrero                                                                                    $ 33.353.068,83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A63-4807-8D3D-E2C19FDAE36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marzo                                                                                       $ 275.379.557,13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A63-4807-8D3D-E2C19FDAE36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abril                                                                                       $ 16.159.504,92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2A63-4807-8D3D-E2C19FDAE36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mayo                                                                                               $ 31.699.128,09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2A63-4807-8D3D-E2C19FDAE36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junio                                                                                  $ 24.943.493,34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2A63-4807-8D3D-E2C19FDAE36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julio                                                                                       $ 18.530.377,52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2A63-4807-8D3D-E2C19FDAE36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agosto                                                                                  $ 18.515.720,00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2A63-4807-8D3D-E2C19FDAE36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septiembre                                                        $ 7.091.438,00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2A63-4807-8D3D-E2C19FDAE36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octubre                                                                                               $ 55.794.224,00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2A63-4807-8D3D-E2C19FDAE36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noviembre                                                                                 $ 19.434.904,55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A63-4807-8D3D-E2C19FDAE36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diciembre                                                                                              $ 7.401.445,40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A63-4807-8D3D-E2C19FDAE3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'Torta Comparativa 2024'!$A$5:$A$16</c:f>
              <c:strCache>
                <c:ptCount val="11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</c:strCache>
            </c:strRef>
          </c:cat>
          <c:val>
            <c:numRef>
              <c:f>'Torta Comparativa 2024'!$B$5:$B$16</c:f>
              <c:numCache>
                <c:formatCode>[$$-2C0A]\ #,##0.00</c:formatCode>
                <c:ptCount val="11"/>
                <c:pt idx="0">
                  <c:v>33353068.829999998</c:v>
                </c:pt>
                <c:pt idx="1">
                  <c:v>275379557.13</c:v>
                </c:pt>
                <c:pt idx="2">
                  <c:v>16159504.92</c:v>
                </c:pt>
                <c:pt idx="3">
                  <c:v>31699128.089999996</c:v>
                </c:pt>
                <c:pt idx="4">
                  <c:v>24943493.34</c:v>
                </c:pt>
                <c:pt idx="5">
                  <c:v>18530377.52</c:v>
                </c:pt>
                <c:pt idx="6">
                  <c:v>18515720</c:v>
                </c:pt>
                <c:pt idx="7">
                  <c:v>7091438</c:v>
                </c:pt>
                <c:pt idx="8">
                  <c:v>55794224</c:v>
                </c:pt>
                <c:pt idx="9">
                  <c:v>19434904.550000001</c:v>
                </c:pt>
                <c:pt idx="10">
                  <c:v>7401445.4000000004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3-4807-8D3D-E2C19FDAE368}"/>
            </c:ext>
          </c:extLst>
        </c:ser>
        <c:ser>
          <c:idx val="1"/>
          <c:order val="1"/>
          <c:tx>
            <c:strRef>
              <c:f>'Torta Comparativa 2024'!$C$4</c:f>
              <c:strCache>
                <c:ptCount val="1"/>
                <c:pt idx="0">
                  <c:v>Suma de Precio Inicial 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FE5-495C-BC02-5A4053201767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FE5-495C-BC02-5A4053201767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FE5-495C-BC02-5A4053201767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FE5-495C-BC02-5A4053201767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FE5-495C-BC02-5A4053201767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FE5-495C-BC02-5A4053201767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FE5-495C-BC02-5A4053201767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FE5-495C-BC02-5A4053201767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FE5-495C-BC02-5A4053201767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FE5-495C-BC02-5A4053201767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FE5-495C-BC02-5A4053201767}"/>
              </c:ext>
            </c:extLst>
          </c:dPt>
          <c:cat>
            <c:strRef>
              <c:f>'Torta Comparativa 2024'!$A$5:$A$16</c:f>
              <c:strCache>
                <c:ptCount val="11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</c:strCache>
            </c:strRef>
          </c:cat>
          <c:val>
            <c:numRef>
              <c:f>'Torta Comparativa 2024'!$C$5:$C$16</c:f>
              <c:numCache>
                <c:formatCode>[$$-2C0A]\ #,##0.00</c:formatCode>
                <c:ptCount val="11"/>
                <c:pt idx="0">
                  <c:v>241253818.55000001</c:v>
                </c:pt>
                <c:pt idx="1">
                  <c:v>1647621897.3899999</c:v>
                </c:pt>
                <c:pt idx="2">
                  <c:v>104341259.99000001</c:v>
                </c:pt>
                <c:pt idx="3">
                  <c:v>293488431.41000003</c:v>
                </c:pt>
                <c:pt idx="4">
                  <c:v>214632931.94</c:v>
                </c:pt>
                <c:pt idx="5">
                  <c:v>437474345.12</c:v>
                </c:pt>
                <c:pt idx="6">
                  <c:v>150851614</c:v>
                </c:pt>
                <c:pt idx="7">
                  <c:v>80754137.439999998</c:v>
                </c:pt>
                <c:pt idx="8">
                  <c:v>592327628.5</c:v>
                </c:pt>
                <c:pt idx="9">
                  <c:v>113289354.55</c:v>
                </c:pt>
                <c:pt idx="10">
                  <c:v>128520182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3-4807-8D3D-E2C19FDAE368}"/>
            </c:ext>
          </c:extLst>
        </c:ser>
        <c:ser>
          <c:idx val="2"/>
          <c:order val="2"/>
          <c:tx>
            <c:strRef>
              <c:f>'Torta Comparativa 2024'!$D$4</c:f>
              <c:strCache>
                <c:ptCount val="1"/>
                <c:pt idx="0">
                  <c:v>Suma de Precio Final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FE5-495C-BC02-5A4053201767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FE5-495C-BC02-5A4053201767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FE5-495C-BC02-5A4053201767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FE5-495C-BC02-5A4053201767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FE5-495C-BC02-5A4053201767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FE5-495C-BC02-5A4053201767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FE5-495C-BC02-5A4053201767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FE5-495C-BC02-5A4053201767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FE5-495C-BC02-5A4053201767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FE5-495C-BC02-5A4053201767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FE5-495C-BC02-5A4053201767}"/>
              </c:ext>
            </c:extLst>
          </c:dPt>
          <c:cat>
            <c:strRef>
              <c:f>'Torta Comparativa 2024'!$A$5:$A$16</c:f>
              <c:strCache>
                <c:ptCount val="11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</c:strCache>
            </c:strRef>
          </c:cat>
          <c:val>
            <c:numRef>
              <c:f>'Torta Comparativa 2024'!$D$5:$D$16</c:f>
              <c:numCache>
                <c:formatCode>[$$-2C0A]\ #,##0.00</c:formatCode>
                <c:ptCount val="11"/>
                <c:pt idx="0">
                  <c:v>207900749.72</c:v>
                </c:pt>
                <c:pt idx="1">
                  <c:v>1372242340.26</c:v>
                </c:pt>
                <c:pt idx="2">
                  <c:v>88181755.069999993</c:v>
                </c:pt>
                <c:pt idx="3">
                  <c:v>261789303.31999999</c:v>
                </c:pt>
                <c:pt idx="4">
                  <c:v>189689438.59999999</c:v>
                </c:pt>
                <c:pt idx="5">
                  <c:v>418869067.60000002</c:v>
                </c:pt>
                <c:pt idx="6">
                  <c:v>132335894</c:v>
                </c:pt>
                <c:pt idx="7">
                  <c:v>73662699.439999998</c:v>
                </c:pt>
                <c:pt idx="8">
                  <c:v>536533404.5</c:v>
                </c:pt>
                <c:pt idx="9">
                  <c:v>93854450</c:v>
                </c:pt>
                <c:pt idx="10">
                  <c:v>121118736.59999999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63-4807-8D3D-E2C19FDAE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156947123030843"/>
          <c:y val="0.26228803817105278"/>
          <c:w val="0.11331531936089109"/>
          <c:h val="0.527700136384050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[comparativa de precios.xlsx]Torta Comparativa 2025!TablaDinámica1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Suma de Saldo de diferencia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63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8CBAD"/>
          </a:solidFill>
          <a:ln w="6350">
            <a:solidFill>
              <a:srgbClr val="000000"/>
            </a:solidFill>
            <a:prstDash val="solid"/>
          </a:ln>
          <a:effectLst/>
        </c:spPr>
      </c:pivotFmt>
      <c:pivotFmt>
        <c:idx val="4"/>
        <c:spPr>
          <a:solidFill>
            <a:srgbClr val="B67DF0"/>
          </a:solidFill>
          <a:ln w="6350">
            <a:solidFill>
              <a:srgbClr val="000000"/>
            </a:solidFill>
            <a:prstDash val="solid"/>
          </a:ln>
          <a:effectLst/>
        </c:spPr>
      </c:pivotFmt>
      <c:pivotFmt>
        <c:idx val="5"/>
        <c:spPr>
          <a:solidFill>
            <a:srgbClr val="CAFAF8"/>
          </a:solidFill>
          <a:ln w="6350">
            <a:solidFill>
              <a:srgbClr val="000000"/>
            </a:solidFill>
            <a:prstDash val="solid"/>
          </a:ln>
          <a:effectLst/>
        </c:spPr>
      </c:pivotFmt>
      <c:pivotFmt>
        <c:idx val="6"/>
        <c:spPr>
          <a:solidFill>
            <a:srgbClr val="D8D4FF"/>
          </a:solidFill>
          <a:ln w="6350">
            <a:solidFill>
              <a:srgbClr val="000000"/>
            </a:solidFill>
            <a:prstDash val="solid"/>
          </a:ln>
          <a:effectLst/>
        </c:spPr>
      </c:pivotFmt>
      <c:pivotFmt>
        <c:idx val="7"/>
        <c:spPr>
          <a:solidFill>
            <a:srgbClr val="F5C5FC"/>
          </a:solidFill>
          <a:ln w="6350">
            <a:solidFill>
              <a:srgbClr val="000000"/>
            </a:solidFill>
            <a:prstDash val="solid"/>
          </a:ln>
          <a:effectLst/>
        </c:spPr>
      </c:pivotFmt>
      <c:pivotFmt>
        <c:idx val="8"/>
        <c:spPr>
          <a:solidFill>
            <a:srgbClr val="FFE699"/>
          </a:solidFill>
          <a:ln w="6350">
            <a:solidFill>
              <a:srgbClr val="000000"/>
            </a:solidFill>
            <a:prstDash val="solid"/>
          </a:ln>
          <a:effectLst/>
        </c:spPr>
      </c:pivotFmt>
      <c:pivotFmt>
        <c:idx val="9"/>
        <c:spPr>
          <a:solidFill>
            <a:srgbClr val="C6E0B4"/>
          </a:solidFill>
          <a:ln w="6350">
            <a:solidFill>
              <a:srgbClr val="000000"/>
            </a:solidFill>
            <a:prstDash val="solid"/>
          </a:ln>
          <a:effectLst/>
        </c:spPr>
      </c:pivotFmt>
      <c:pivotFmt>
        <c:idx val="10"/>
        <c:spPr>
          <a:solidFill>
            <a:srgbClr val="ACB9CA"/>
          </a:solidFill>
          <a:ln w="6350">
            <a:solidFill>
              <a:srgbClr val="000000"/>
            </a:solidFill>
            <a:prstDash val="solid"/>
          </a:ln>
          <a:effectLst/>
        </c:spPr>
      </c:pivotFmt>
      <c:pivotFmt>
        <c:idx val="11"/>
        <c:spPr>
          <a:solidFill>
            <a:srgbClr val="F4B084"/>
          </a:solidFill>
          <a:ln w="6350">
            <a:solidFill>
              <a:srgbClr val="000000"/>
            </a:solidFill>
            <a:prstDash val="solid"/>
          </a:ln>
          <a:effectLst/>
        </c:spPr>
      </c:pivotFmt>
      <c:pivotFmt>
        <c:idx val="12"/>
        <c:spPr>
          <a:solidFill>
            <a:srgbClr val="A9D08E"/>
          </a:solidFill>
          <a:ln w="6350">
            <a:solidFill>
              <a:srgbClr val="000000"/>
            </a:solidFill>
            <a:prstDash val="solid"/>
          </a:ln>
          <a:effectLst/>
        </c:spPr>
      </c:pivotFmt>
      <c:pivotFmt>
        <c:idx val="13"/>
        <c:spPr>
          <a:solidFill>
            <a:srgbClr val="FFD966"/>
          </a:solidFill>
          <a:ln w="6350">
            <a:solidFill>
              <a:srgbClr val="000000"/>
            </a:solidFill>
            <a:prstDash val="solid"/>
          </a:ln>
          <a:effectLst/>
        </c:spPr>
      </c:pivotFmt>
      <c:pivotFmt>
        <c:idx val="14"/>
        <c:spPr>
          <a:solidFill>
            <a:srgbClr val="D9E1F2"/>
          </a:solidFill>
          <a:ln w="6350">
            <a:solidFill>
              <a:srgbClr val="000000"/>
            </a:solidFill>
            <a:prstDash val="solid"/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'Torta Comparativa 2025'!$B$5</c:f>
              <c:strCache>
                <c:ptCount val="1"/>
                <c:pt idx="0">
                  <c:v>Suma de Saldo de diferencia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B67DF0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A39E-4E97-9EF6-338C3215730C}"/>
              </c:ext>
            </c:extLst>
          </c:dPt>
          <c:dPt>
            <c:idx val="1"/>
            <c:bubble3D val="0"/>
            <c:spPr>
              <a:solidFill>
                <a:srgbClr val="CAFAF8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A39E-4E97-9EF6-338C3215730C}"/>
              </c:ext>
            </c:extLst>
          </c:dPt>
          <c:dPt>
            <c:idx val="2"/>
            <c:bubble3D val="0"/>
            <c:spPr>
              <a:solidFill>
                <a:srgbClr val="D8D4FF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A39E-4E97-9EF6-338C3215730C}"/>
              </c:ext>
            </c:extLst>
          </c:dPt>
          <c:dPt>
            <c:idx val="3"/>
            <c:bubble3D val="0"/>
            <c:spPr>
              <a:solidFill>
                <a:srgbClr val="F5C5FC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A39E-4E97-9EF6-338C3215730C}"/>
              </c:ext>
            </c:extLst>
          </c:dPt>
          <c:dPt>
            <c:idx val="4"/>
            <c:bubble3D val="0"/>
            <c:spPr>
              <a:solidFill>
                <a:srgbClr val="FFE699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A39E-4E97-9EF6-338C3215730C}"/>
              </c:ext>
            </c:extLst>
          </c:dPt>
          <c:dPt>
            <c:idx val="5"/>
            <c:bubble3D val="0"/>
            <c:spPr>
              <a:solidFill>
                <a:srgbClr val="C6E0B4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A39E-4E97-9EF6-338C3215730C}"/>
              </c:ext>
            </c:extLst>
          </c:dPt>
          <c:dPt>
            <c:idx val="6"/>
            <c:bubble3D val="0"/>
            <c:spPr>
              <a:solidFill>
                <a:srgbClr val="ACB9CA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A39E-4E97-9EF6-338C3215730C}"/>
              </c:ext>
            </c:extLst>
          </c:dPt>
          <c:dPt>
            <c:idx val="7"/>
            <c:bubble3D val="0"/>
            <c:spPr>
              <a:solidFill>
                <a:srgbClr val="F4B084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A39E-4E97-9EF6-338C3215730C}"/>
              </c:ext>
            </c:extLst>
          </c:dPt>
          <c:dPt>
            <c:idx val="8"/>
            <c:bubble3D val="0"/>
            <c:spPr>
              <a:solidFill>
                <a:srgbClr val="A9D08E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2-A39E-4E97-9EF6-338C3215730C}"/>
              </c:ext>
            </c:extLst>
          </c:dPt>
          <c:dPt>
            <c:idx val="9"/>
            <c:bubble3D val="0"/>
            <c:spPr>
              <a:solidFill>
                <a:srgbClr val="FFD966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A39E-4E97-9EF6-338C3215730C}"/>
              </c:ext>
            </c:extLst>
          </c:dPt>
          <c:dPt>
            <c:idx val="10"/>
            <c:bubble3D val="0"/>
            <c:spPr>
              <a:solidFill>
                <a:srgbClr val="D9E1F2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B42B-416A-8476-15BE8E084C02}"/>
              </c:ext>
            </c:extLst>
          </c:dPt>
          <c:dPt>
            <c:idx val="11"/>
            <c:bubble3D val="0"/>
            <c:spPr>
              <a:solidFill>
                <a:srgbClr val="F8CBAD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A39E-4E97-9EF6-338C321573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'Torta Comparativa 2025'!$A$6:$A$18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'Torta Comparativa 2025'!$B$6:$B$18</c:f>
              <c:numCache>
                <c:formatCode>_-[$$-409]* #,##0.00_ ;_-[$$-409]* \-#,##0.00\ ;_-[$$-409]* "-"??_ ;_-@_ </c:formatCode>
                <c:ptCount val="12"/>
                <c:pt idx="0">
                  <c:v>38738923.960000001</c:v>
                </c:pt>
                <c:pt idx="1">
                  <c:v>27044688.289999999</c:v>
                </c:pt>
                <c:pt idx="2">
                  <c:v>14039960.9</c:v>
                </c:pt>
                <c:pt idx="3">
                  <c:v>31569746.600000001</c:v>
                </c:pt>
                <c:pt idx="4">
                  <c:v>43089271.659999996</c:v>
                </c:pt>
                <c:pt idx="5">
                  <c:v>16747891.710000003</c:v>
                </c:pt>
                <c:pt idx="6">
                  <c:v>12815281.540000003</c:v>
                </c:pt>
                <c:pt idx="7">
                  <c:v>6228691.2000000002</c:v>
                </c:pt>
                <c:pt idx="8">
                  <c:v>15925431.040000003</c:v>
                </c:pt>
                <c:pt idx="9">
                  <c:v>6881778</c:v>
                </c:pt>
                <c:pt idx="10">
                  <c:v>20693700.560000002</c:v>
                </c:pt>
                <c:pt idx="11">
                  <c:v>40657529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9E-4E97-9EF6-338C3215730C}"/>
            </c:ext>
          </c:extLst>
        </c:ser>
        <c:ser>
          <c:idx val="1"/>
          <c:order val="1"/>
          <c:tx>
            <c:strRef>
              <c:f>'Torta Comparativa 2025'!$C$5</c:f>
              <c:strCache>
                <c:ptCount val="1"/>
                <c:pt idx="0">
                  <c:v>Suma de Precio Inicial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3FE-4907-AE9A-20EF12C0C7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3FE-4907-AE9A-20EF12C0C7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3FE-4907-AE9A-20EF12C0C7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3FE-4907-AE9A-20EF12C0C7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3FE-4907-AE9A-20EF12C0C7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3FE-4907-AE9A-20EF12C0C7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3FE-4907-AE9A-20EF12C0C7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3FE-4907-AE9A-20EF12C0C7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3FE-4907-AE9A-20EF12C0C7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3FE-4907-AE9A-20EF12C0C74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3FE-4907-AE9A-20EF12C0C74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3FE-4907-AE9A-20EF12C0C746}"/>
              </c:ext>
            </c:extLst>
          </c:dPt>
          <c:cat>
            <c:strRef>
              <c:f>'Torta Comparativa 2025'!$A$6:$A$18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'Torta Comparativa 2025'!$C$6:$C$18</c:f>
              <c:numCache>
                <c:formatCode>_-[$$-409]* #,##0.00_ ;_-[$$-409]* \-#,##0.00\ ;_-[$$-409]* "-"??_ ;_-@_ </c:formatCode>
                <c:ptCount val="12"/>
                <c:pt idx="0">
                  <c:v>212637491.03999999</c:v>
                </c:pt>
                <c:pt idx="1">
                  <c:v>256626216.38999999</c:v>
                </c:pt>
                <c:pt idx="2">
                  <c:v>183418875</c:v>
                </c:pt>
                <c:pt idx="3">
                  <c:v>208024642.15000001</c:v>
                </c:pt>
                <c:pt idx="4">
                  <c:v>299271790.03999996</c:v>
                </c:pt>
                <c:pt idx="5">
                  <c:v>250352835.78999999</c:v>
                </c:pt>
                <c:pt idx="6">
                  <c:v>146190052.71999997</c:v>
                </c:pt>
                <c:pt idx="7">
                  <c:v>87060568.900000006</c:v>
                </c:pt>
                <c:pt idx="8">
                  <c:v>240188029.19999999</c:v>
                </c:pt>
                <c:pt idx="9">
                  <c:v>118372309</c:v>
                </c:pt>
                <c:pt idx="10">
                  <c:v>340261103</c:v>
                </c:pt>
                <c:pt idx="11">
                  <c:v>87982639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9E-4E97-9EF6-338C3215730C}"/>
            </c:ext>
          </c:extLst>
        </c:ser>
        <c:ser>
          <c:idx val="2"/>
          <c:order val="2"/>
          <c:tx>
            <c:strRef>
              <c:f>'Torta Comparativa 2025'!$D$5</c:f>
              <c:strCache>
                <c:ptCount val="1"/>
                <c:pt idx="0">
                  <c:v>Suma de Precio Final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3FE-4907-AE9A-20EF12C0C7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3FE-4907-AE9A-20EF12C0C7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A3FE-4907-AE9A-20EF12C0C7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A3FE-4907-AE9A-20EF12C0C7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A3FE-4907-AE9A-20EF12C0C7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A3FE-4907-AE9A-20EF12C0C7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A3FE-4907-AE9A-20EF12C0C7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A3FE-4907-AE9A-20EF12C0C7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A3FE-4907-AE9A-20EF12C0C7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A3FE-4907-AE9A-20EF12C0C74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A3FE-4907-AE9A-20EF12C0C74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A3FE-4907-AE9A-20EF12C0C746}"/>
              </c:ext>
            </c:extLst>
          </c:dPt>
          <c:cat>
            <c:strRef>
              <c:f>'Torta Comparativa 2025'!$A$6:$A$18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'Torta Comparativa 2025'!$D$6:$D$18</c:f>
              <c:numCache>
                <c:formatCode>_-[$$-409]* #,##0.00_ ;_-[$$-409]* \-#,##0.00\ ;_-[$$-409]* "-"??_ ;_-@_ </c:formatCode>
                <c:ptCount val="12"/>
                <c:pt idx="0">
                  <c:v>174053553.02999997</c:v>
                </c:pt>
                <c:pt idx="1">
                  <c:v>229581528.10000002</c:v>
                </c:pt>
                <c:pt idx="2">
                  <c:v>169378914.09999999</c:v>
                </c:pt>
                <c:pt idx="3">
                  <c:v>176454895.55000001</c:v>
                </c:pt>
                <c:pt idx="4">
                  <c:v>256182518.38</c:v>
                </c:pt>
                <c:pt idx="5">
                  <c:v>233604944.07999992</c:v>
                </c:pt>
                <c:pt idx="6">
                  <c:v>133374771.17999999</c:v>
                </c:pt>
                <c:pt idx="7">
                  <c:v>80831877.700000003</c:v>
                </c:pt>
                <c:pt idx="8">
                  <c:v>224262598.16000003</c:v>
                </c:pt>
                <c:pt idx="9">
                  <c:v>111490531</c:v>
                </c:pt>
                <c:pt idx="10">
                  <c:v>319567402.44</c:v>
                </c:pt>
                <c:pt idx="11">
                  <c:v>47325110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39E-4E97-9EF6-338C32157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[comparativa de precios.xlsx]Torta Comparativa 2026!TablaDinámica1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Ahorro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6350"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AFAF8"/>
          </a:solidFill>
          <a:ln w="6350">
            <a:solidFill>
              <a:srgbClr val="0D0D0D"/>
            </a:solidFill>
            <a:prstDash val="solid"/>
          </a:ln>
          <a:effectLst/>
        </c:spPr>
      </c:pivotFmt>
      <c:pivotFmt>
        <c:idx val="4"/>
        <c:spPr>
          <a:solidFill>
            <a:srgbClr val="D8D4FF"/>
          </a:solidFill>
          <a:ln w="6350">
            <a:solidFill>
              <a:srgbClr val="0D0D0D"/>
            </a:solidFill>
            <a:prstDash val="solid"/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6350">
            <a:solidFill>
              <a:srgbClr val="0D0D0D"/>
            </a:solidFill>
            <a:prstDash val="solid"/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F8CBAD"/>
          </a:solidFill>
          <a:ln w="6350">
            <a:solidFill>
              <a:srgbClr val="0D0D0D"/>
            </a:solidFill>
            <a:prstDash val="solid"/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'Torta Comparativa 2026'!$B$6</c:f>
              <c:strCache>
                <c:ptCount val="1"/>
                <c:pt idx="0">
                  <c:v>Suma de Saldo de diferencia</c:v>
                </c:pt>
              </c:strCache>
            </c:strRef>
          </c:tx>
          <c:spPr>
            <a:ln w="6350">
              <a:solidFill>
                <a:srgbClr val="0D0D0D"/>
              </a:solidFill>
              <a:prstDash val="solid"/>
            </a:ln>
          </c:spPr>
          <c:dPt>
            <c:idx val="0"/>
            <c:bubble3D val="0"/>
            <c:spPr>
              <a:solidFill>
                <a:srgbClr val="D8D4FF"/>
              </a:solidFill>
              <a:ln w="6350"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4271-421E-B814-33985CF8A16E}"/>
              </c:ext>
            </c:extLst>
          </c:dPt>
          <c:dPt>
            <c:idx val="1"/>
            <c:bubble3D val="0"/>
            <c:spPr>
              <a:solidFill>
                <a:srgbClr val="CAFAF8"/>
              </a:solidFill>
              <a:ln w="6350"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271-421E-B814-33985CF8A1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6350"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DC57-46CA-87B2-7800FA99E98C}"/>
              </c:ext>
            </c:extLst>
          </c:dPt>
          <c:dPt>
            <c:idx val="3"/>
            <c:bubble3D val="0"/>
            <c:spPr>
              <a:solidFill>
                <a:srgbClr val="F8CBAD"/>
              </a:solidFill>
              <a:ln w="6350"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C028-4A33-B7A6-046F6CC940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'Torta Comparativa 2026'!$A$7:$A$11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 </c:v>
                </c:pt>
                <c:pt idx="3">
                  <c:v>Abril</c:v>
                </c:pt>
              </c:strCache>
            </c:strRef>
          </c:cat>
          <c:val>
            <c:numRef>
              <c:f>'Torta Comparativa 2026'!$B$7:$B$11</c:f>
              <c:numCache>
                <c:formatCode>_-[$$-409]* #,##0.00_ ;_-[$$-409]* \-#,##0.00\ ;_-[$$-409]* "-"??_ ;_-@_ </c:formatCode>
                <c:ptCount val="4"/>
                <c:pt idx="0">
                  <c:v>19456065</c:v>
                </c:pt>
                <c:pt idx="1">
                  <c:v>108130657.21000001</c:v>
                </c:pt>
                <c:pt idx="2">
                  <c:v>39512485.100000001</c:v>
                </c:pt>
                <c:pt idx="3">
                  <c:v>7224565.5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1-421E-B814-33985CF8A16E}"/>
            </c:ext>
          </c:extLst>
        </c:ser>
        <c:ser>
          <c:idx val="1"/>
          <c:order val="1"/>
          <c:tx>
            <c:strRef>
              <c:f>'Torta Comparativa 2026'!$C$6</c:f>
              <c:strCache>
                <c:ptCount val="1"/>
                <c:pt idx="0">
                  <c:v>Suma de Precio Inicial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6C-47A1-B590-35FF1D7B3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6C-47A1-B590-35FF1D7B3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C57-46CA-87B2-7800FA99E9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553-4572-A36F-7ADD1D9DC658}"/>
              </c:ext>
            </c:extLst>
          </c:dPt>
          <c:cat>
            <c:strRef>
              <c:f>'Torta Comparativa 2026'!$A$7:$A$11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 </c:v>
                </c:pt>
                <c:pt idx="3">
                  <c:v>Abril</c:v>
                </c:pt>
              </c:strCache>
            </c:strRef>
          </c:cat>
          <c:val>
            <c:numRef>
              <c:f>'Torta Comparativa 2026'!$C$7:$C$11</c:f>
              <c:numCache>
                <c:formatCode>_-[$$-409]* #,##0.00_ ;_-[$$-409]* \-#,##0.00\ ;_-[$$-409]* "-"??_ ;_-@_ </c:formatCode>
                <c:ptCount val="4"/>
                <c:pt idx="0">
                  <c:v>309508732</c:v>
                </c:pt>
                <c:pt idx="1">
                  <c:v>900180099.21000004</c:v>
                </c:pt>
                <c:pt idx="2">
                  <c:v>928574638.10000002</c:v>
                </c:pt>
                <c:pt idx="3">
                  <c:v>70247628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71-421E-B814-33985CF8A16E}"/>
            </c:ext>
          </c:extLst>
        </c:ser>
        <c:ser>
          <c:idx val="2"/>
          <c:order val="2"/>
          <c:tx>
            <c:strRef>
              <c:f>'Torta Comparativa 2026'!$D$6</c:f>
              <c:strCache>
                <c:ptCount val="1"/>
                <c:pt idx="0">
                  <c:v>Suma de Precio Final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6C-47A1-B590-35FF1D7B3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6C-47A1-B590-35FF1D7B3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C57-46CA-87B2-7800FA99E9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553-4572-A36F-7ADD1D9DC658}"/>
              </c:ext>
            </c:extLst>
          </c:dPt>
          <c:cat>
            <c:strRef>
              <c:f>'Torta Comparativa 2026'!$A$7:$A$11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 </c:v>
                </c:pt>
                <c:pt idx="3">
                  <c:v>Abril</c:v>
                </c:pt>
              </c:strCache>
            </c:strRef>
          </c:cat>
          <c:val>
            <c:numRef>
              <c:f>'Torta Comparativa 2026'!$D$7:$D$11</c:f>
              <c:numCache>
                <c:formatCode>_-[$$-409]* #,##0.00_ ;_-[$$-409]* \-#,##0.00\ ;_-[$$-409]* "-"??_ ;_-@_ </c:formatCode>
                <c:ptCount val="4"/>
                <c:pt idx="0">
                  <c:v>290052667</c:v>
                </c:pt>
                <c:pt idx="1">
                  <c:v>792049442</c:v>
                </c:pt>
                <c:pt idx="2">
                  <c:v>889062153</c:v>
                </c:pt>
                <c:pt idx="3">
                  <c:v>63023062.5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71-421E-B814-33985CF8A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1314450</xdr:colOff>
      <xdr:row>0</xdr:row>
      <xdr:rowOff>19050</xdr:rowOff>
    </xdr:from>
    <xdr:to>
      <xdr:col>16</xdr:col>
      <xdr:colOff>0</xdr:colOff>
      <xdr:row>31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DCA2D5-146F-7F2E-5CD6-2780F3FDC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752475</xdr:colOff>
      <xdr:row>30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A20F3B-724A-B493-BCFF-02E774134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12</xdr:col>
      <xdr:colOff>9525</xdr:colOff>
      <xdr:row>30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DC7D42-AD09-CED4-B98B-1F2561246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resupuesto Compras" id="{41A5CFAD-B54F-457C-A15A-0367B60C414D}" userId="S::presupuestos.compras@malvinasargentinas.gob.ar::29081748-1300-43a5-9f1c-f6f66c8dd5c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0.656368865741" createdVersion="8" refreshedVersion="8" minRefreshableVersion="3" recordCount="438" xr:uid="{872293E0-8B83-4110-81E3-9F1DE4348CEB}">
  <cacheSource type="worksheet">
    <worksheetSource ref="A402:J840" sheet="Base de datos"/>
  </cacheSource>
  <cacheFields count="10">
    <cacheField name="Proveedores" numFmtId="0">
      <sharedItems count="114">
        <s v="munguia"/>
        <s v="baez silvia "/>
        <s v="Pepan "/>
        <s v="pesse"/>
        <s v="JPF"/>
        <s v="JPF "/>
        <s v="Javier Cardini "/>
        <s v="sosa ezequiel"/>
        <s v="ato "/>
        <s v="gabriel quinteros"/>
        <s v="Antagli y mangini"/>
        <s v="cristales mitre"/>
        <s v="ache "/>
        <s v="la trinidad "/>
        <s v="FEBRERO"/>
        <s v="rotela"/>
        <s v="veron"/>
        <s v="rc redes"/>
        <s v="ortega rodrigo "/>
        <s v="ache"/>
        <s v="mitre"/>
        <s v="rotela diego "/>
        <s v="ato"/>
        <s v="veron "/>
        <s v="marano miguel"/>
        <s v="rotela javier"/>
        <s v="Juan Inacio Frutos "/>
        <s v="panamerican vial"/>
        <s v="MARZO"/>
        <s v="rpm "/>
        <s v="mitre "/>
        <s v="jpf/landica"/>
        <s v="PERFECT COLOR "/>
        <s v="tae seguridad"/>
        <s v="emprendimientos mall"/>
        <s v="DD&amp;GG"/>
        <s v="Electrica castelar "/>
        <s v="Federico oskorip "/>
        <s v="dene "/>
        <s v="fusion vial "/>
        <s v="ABRIL"/>
        <s v="mg montajes y servicos srl"/>
        <s v="antagli y mangini "/>
        <s v="groh"/>
        <s v="veron marcelo"/>
        <s v="ortega  rodrigo"/>
        <s v="ato group"/>
        <s v="kymat "/>
        <s v="garcia diego"/>
        <s v="nievas"/>
        <s v="katarzynki / ancelux"/>
        <s v="baez"/>
        <s v="mayo"/>
        <s v="buitencamp"/>
        <s v="kymat"/>
        <s v="radiadores barbieris "/>
        <s v="rotela "/>
        <s v="sosa"/>
        <s v="pda"/>
        <s v="pda "/>
        <s v="sosa enzo"/>
        <s v="quinteros juan carlos"/>
        <s v="rpm"/>
        <s v="rotela diego"/>
        <s v="wagen"/>
        <s v="garcia diego "/>
        <s v="wilmar-buitencamp "/>
        <s v="Dene"/>
        <s v="gazzano ignacio"/>
        <s v="matias marenna"/>
        <s v="pda / roa"/>
        <s v="JUNIO"/>
        <s v="servefer"/>
        <s v="Universo deportivo"/>
        <s v="Buitencamp "/>
        <s v="kyamt"/>
        <s v="perella "/>
        <s v="miguel marano"/>
        <s v="Universo dep "/>
        <s v="osvaldo deportes"/>
        <s v="matias marena "/>
        <s v="Arce "/>
        <s v="Patrico Mc Loughilin "/>
        <s v="Taller de elasticos "/>
        <s v="Freire"/>
        <s v="Emprendimientol mall "/>
        <s v="JULIO"/>
        <s v="Cruci juegos "/>
        <s v="Cristales Mitre "/>
        <s v="compañia turnoc"/>
        <s v="Sosa esteban "/>
        <s v="pop "/>
        <s v="Heredia "/>
        <s v="AGOSTO"/>
        <s v="Diego Swchartz "/>
        <s v="RC "/>
        <s v="Marano "/>
        <s v="SEPTIEMBRE"/>
        <s v="Nico DJ"/>
        <s v="Pucheta Jonathan "/>
        <s v="Adrian Ibarra"/>
        <s v="Juan Ignacio Frutos "/>
        <s v="frutos juan ignacio"/>
        <s v="Octubre "/>
        <s v="nievas ignacio"/>
        <s v="calviello "/>
        <s v="veron-gazzano"/>
        <s v="NOVIEMBRE"/>
        <s v="Universo Dep"/>
        <s v="Morita"/>
        <s v="santiago parco"/>
        <s v="DICIEMBRE "/>
        <s v="Roa/Lic compartida"/>
        <s v="scoleri/Licitacion "/>
      </sharedItems>
    </cacheField>
    <cacheField name="Precio Inicial " numFmtId="0">
      <sharedItems containsString="0" containsBlank="1" containsNumber="1" minValue="101337" maxValue="265661500"/>
    </cacheField>
    <cacheField name="Precio Final" numFmtId="0">
      <sharedItems containsString="0" containsBlank="1" containsNumber="1" minValue="95706" maxValue="252378425"/>
    </cacheField>
    <cacheField name="Saldo de diferencia" numFmtId="0">
      <sharedItems containsString="0" containsBlank="1" containsNumber="1" minValue="-230" maxValue="39100830"/>
    </cacheField>
    <cacheField name="Diferencia" numFmtId="0">
      <sharedItems containsString="0" containsBlank="1" containsNumber="1" minValue="-3.2108554835827565E-4" maxValue="3.0119743846925391"/>
    </cacheField>
    <cacheField name="Detalle" numFmtId="0">
      <sharedItems containsBlank="1"/>
    </cacheField>
    <cacheField name="fecha" numFmtId="0">
      <sharedItems containsBlank="1" count="13">
        <s v="enero"/>
        <m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secretaria" numFmtId="0">
      <sharedItems containsBlank="1" count="28">
        <s v="Sec Obras "/>
        <s v="sec. general"/>
        <s v="Industria "/>
        <m/>
        <s v="Salud "/>
        <s v="obras"/>
        <s v="Gob "/>
        <s v="gobierno"/>
        <s v="salud"/>
        <s v="Sec Obras"/>
        <s v="palacio"/>
        <s v="sec. general "/>
        <s v="Sec. Industria "/>
        <s v="sec general "/>
        <s v="HCD "/>
        <s v="sec. obras"/>
        <s v="sec, general"/>
        <s v="hacienda"/>
        <s v="industria"/>
        <s v="Sec.General "/>
        <s v="sec general"/>
        <s v="SEc. Genaral"/>
        <s v="Hacienda "/>
        <s v="servicios"/>
        <s v="edificio"/>
        <s v="Sec Industria "/>
        <s v="gobierno "/>
        <s v="Gob"/>
      </sharedItems>
    </cacheField>
    <cacheField name="Dir. o Sub. Sec." numFmtId="0">
      <sharedItems containsBlank="1" count="71">
        <m/>
        <s v="Palacio municipal "/>
        <s v="direccion de judiciales"/>
        <s v="Subs Educacion "/>
        <s v="educacion"/>
        <s v="Subs de Juventud "/>
        <s v="Ceremonial"/>
        <s v="Dir. taller y pañol"/>
        <s v="Subs. transito y bromaatologia "/>
        <s v="Desarrollo cultural y art."/>
        <s v="Dir. proteccion ciudadana "/>
        <s v="promocion social "/>
        <s v="Subs de juventud"/>
        <s v="desarrollo urbano"/>
        <s v="Taller y pañol"/>
        <s v="Taller y pañol "/>
        <s v="desarrollo urbano "/>
        <s v="Subse. Educacion "/>
        <s v="coordinacion de programas y ong"/>
        <s v="subse. de servicios "/>
        <s v="subse de gobierno"/>
        <s v="contaduria"/>
        <s v="COM"/>
        <s v="seguridad"/>
        <s v="legal y tecnica"/>
        <s v="mediacion comunitaria"/>
        <s v="seguridad vial"/>
        <s v="Dir. Gral. de Desarrollo Economico "/>
        <s v="subse medio ambiente"/>
        <s v="juventud"/>
        <s v="Subse de promocion e int social "/>
        <s v="promocion social"/>
        <s v="Subse de Deportes "/>
        <s v="informatica"/>
        <s v="direccion gral de cultura"/>
        <s v="medio ambiente"/>
        <s v="Subse. medio ambiente "/>
        <s v="Tesoreria "/>
        <s v="Dir Recursos Humanos "/>
        <s v="religion y culto"/>
        <s v="proteccion ciudadana "/>
        <s v="."/>
        <s v="Subse Deportes "/>
        <s v="Juventud "/>
        <s v="veterinario"/>
        <s v="Subse. Mujer, niñez y adol."/>
        <s v="Deportes "/>
        <s v="Obras"/>
        <s v="Salud "/>
        <s v="Salud"/>
        <s v="Dir Proteccion ciudadana "/>
        <s v="Subse de la mujer "/>
        <s v="Subse Educacion "/>
        <s v="Dir prensa y comunicacion "/>
        <s v="Desarrollo sostenible "/>
        <s v="Desarrollo economico "/>
        <s v="Vet "/>
        <s v="Subse Deportes"/>
        <s v="Directo de Defensa Civil y Emergencias"/>
        <s v="Dirección de Protección Ciudadana"/>
        <s v="Dir. de Prev y Control Vial "/>
        <s v="Deportes"/>
        <s v="Dir Judiciales "/>
        <s v="Planta Dosificadora "/>
        <s v="Dir gral y ONG"/>
        <s v="Centro de monitoreo "/>
        <s v="POLITICAS TERRITORIALES "/>
        <s v="Dir Defensa civil"/>
        <s v="Subse desarrollo urbano "/>
        <s v="Dirección General de Fiscalización"/>
        <s v="Subse. Mujer "/>
      </sharedItems>
    </cacheField>
    <cacheField name="Total de diferencia" numFmtId="0">
      <sharedItems containsString="0" containsBlank="1" containsNumber="1" minValue="6228691.2000000002" maxValue="43089271.65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0.656368865741" createdVersion="8" refreshedVersion="8" minRefreshableVersion="3" recordCount="399" xr:uid="{F0BD766C-5435-492F-963A-3DEE86BDACE2}">
  <cacheSource type="worksheet">
    <worksheetSource ref="A1:J400" sheet="Base de datos"/>
  </cacheSource>
  <cacheFields count="10">
    <cacheField name="Proveedores" numFmtId="0">
      <sharedItems/>
    </cacheField>
    <cacheField name="Precio Inicial " numFmtId="0">
      <sharedItems containsString="0" containsBlank="1" containsNumber="1" minValue="29000" maxValue="813579451"/>
    </cacheField>
    <cacheField name="Precio Final" numFmtId="0">
      <sharedItems containsString="0" containsBlank="1" containsNumber="1" minValue="18600" maxValue="693874961"/>
    </cacheField>
    <cacheField name="Saldo de diferencia" numFmtId="0">
      <sharedItems containsString="0" containsBlank="1" containsNumber="1" minValue="2125" maxValue="119704490"/>
    </cacheField>
    <cacheField name="Diferencia" numFmtId="0">
      <sharedItems containsString="0" containsBlank="1" containsNumber="1" minValue="3.7969926182447318E-3" maxValue="8.2397660818713447"/>
    </cacheField>
    <cacheField name="Detalle" numFmtId="0">
      <sharedItems containsBlank="1"/>
    </cacheField>
    <cacheField name="fecha" numFmtId="0">
      <sharedItems containsBlank="1" count="12">
        <s v="febrero"/>
        <m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secretaria" numFmtId="0">
      <sharedItems containsBlank="1" count="36">
        <s v="sec. General"/>
        <m/>
        <s v="privada"/>
        <s v="gobierno"/>
        <s v="salud"/>
        <s v="hcd"/>
        <s v="gobierno "/>
        <s v="sec. geral"/>
        <s v="industria"/>
        <s v="obras"/>
        <s v="sec. hacienda"/>
        <s v="sub. des. urb."/>
        <s v="hacienda"/>
        <s v="dir. general"/>
        <s v="sec. obras"/>
        <s v="obras "/>
        <s v="sec. industria"/>
        <s v="sec. general "/>
        <s v="sec.general "/>
        <s v="industria "/>
        <s v="sec. industria "/>
        <s v="Sec general "/>
        <s v="sec. gral"/>
        <s v="GOB "/>
        <s v="gob"/>
        <s v="Salud "/>
        <s v="edificio"/>
        <s v="Servicios "/>
        <s v="Sec de Obras "/>
        <s v="edificio "/>
        <s v="HCD "/>
        <s v="haicenda"/>
        <s v="Sec de Obras  "/>
        <s v="Sec Salud "/>
        <s v="Sec Industria "/>
        <s v="Hacienda "/>
      </sharedItems>
    </cacheField>
    <cacheField name="Dir. o Sub. Sec." numFmtId="0">
      <sharedItems containsBlank="1" count="123">
        <m/>
        <s v="edificio"/>
        <s v="sub. Ener. Alter. y Recic."/>
        <s v="educacion"/>
        <s v="dir. De inspecciones"/>
        <s v="sub. De seguridad"/>
        <s v="sub. De educacion"/>
        <s v="carrillo"/>
        <s v="dir. De seguridad"/>
        <s v="sub. De deportes"/>
        <s v="dir. gral de seguridad"/>
        <s v="same"/>
        <s v="dir. de cementerio"/>
        <s v="sec. general"/>
        <s v="protec. ciudadana"/>
        <s v="centro de monitoreo"/>
        <s v="cementerio "/>
        <s v="medio ambiente"/>
        <s v="varios"/>
        <s v="dir. de centro de monitorieo"/>
        <s v="dir. defensa civil"/>
        <s v="dir. de redes"/>
        <s v="dir. taller y pañol"/>
        <s v="dir. informatica"/>
        <s v="dir. de informatica"/>
        <s v="dir. gral. coord. y progamas y ong"/>
        <s v="planta dosificadora de hormigon"/>
        <s v="dir. de logistica"/>
        <s v="dir. de taller y pañol"/>
        <s v="dir. de premoldeados"/>
        <s v="subse. de educacion"/>
        <s v="subse. de servicios"/>
        <s v="   "/>
        <s v="dir. de juventud"/>
        <s v="dir. de obras"/>
        <s v="Log vehicular "/>
        <s v="subs de deportes "/>
        <s v="dir. parques y jardines"/>
        <s v="desarrollo cultural"/>
        <s v="dir taller y pañol "/>
        <s v="dir. proteccion ciudadana"/>
        <s v="obrador municipal "/>
        <s v="Subs de Educacion "/>
        <s v="Htal. Oftalmologico"/>
        <s v="Dir de Garantias "/>
        <s v="HCD"/>
        <s v="Subs de energias alternativas "/>
        <s v="bromatologia"/>
        <s v="cultura"/>
        <s v="obras"/>
        <s v="seguridad"/>
        <s v="drozdowski"/>
        <s v="taller y pañol"/>
        <s v="juventud"/>
        <s v="Subs de Ambiente y Desarrollo Sostenible "/>
        <s v="Subs transito y bromatologia "/>
        <s v="dir derechos humanos"/>
        <s v="Subs. de la Mujer, Niñes y Adol."/>
        <s v="Dir general de sust. ecologica "/>
        <s v="htal polo sanitario"/>
        <s v="htal carillo"/>
        <s v="complejo hospitalario trauma"/>
        <s v="DEPORTES "/>
        <s v="htal. polo sanitario"/>
        <s v="htal. carillo"/>
        <s v="Subs. de Deportes"/>
        <s v="Subse de transito y bromatologia "/>
        <s v="Dir de primer nivel "/>
        <s v="Subs. de Deportes "/>
        <s v="Subs. de Seguridad "/>
        <s v="Dir. Servicios electricos "/>
        <s v="dir. de defensa civil"/>
        <s v="informatica"/>
        <s v="dir de control vehicular "/>
        <s v="trauma "/>
        <s v="Subs de Ambien. y Desarrollo Sost."/>
        <s v="Dir de prensa "/>
        <s v="Dir Gral de Promocion y des Cultur"/>
        <s v="Dir de Prot. Ciudadana "/>
        <s v="proteccion ciudadana"/>
        <s v="htal. veterinario"/>
        <s v="Hospital veterinario "/>
        <s v="polo"/>
        <s v="oftalmologico "/>
        <s v="Dir de proteccion ciudadana "/>
        <s v="Subsecretaria de deportes "/>
        <s v="dir. de prensa "/>
        <s v="Subs. de transito y bromatologia "/>
        <s v="Dir de ULG Villa de Mayo "/>
        <s v="Sec Obras "/>
        <s v="Sub seguridad"/>
        <s v="Sub Seguridad "/>
        <s v="Servicios "/>
        <s v="dir. de patrimonio"/>
        <s v="dosificadora de homirgon"/>
        <s v="proteccion ciudadana "/>
        <s v="juventud "/>
        <s v="Dir General de Politicas de Juventud "/>
        <s v="Dir general de Fiscalizacion "/>
        <s v="promocion social"/>
        <s v="ulg modelo"/>
        <s v="Subse de ambiente y desarrollo sostenible "/>
        <s v="Dir prevencion y control vial"/>
        <s v="logistica vehicular "/>
        <s v="Dir de prevencion y control vial "/>
        <s v="Transito y brom "/>
        <s v="Dir de defensa civil y emergencias "/>
        <s v="Dir proteccion ciudadana "/>
        <s v="Dir. taller y pañol "/>
        <s v="Subs. energias alt. y reciclado"/>
        <s v="Dir. proteccion ciudadana "/>
        <s v="defensa civil"/>
        <s v="Subs. Deportes "/>
        <s v="subse. educacion"/>
        <s v="dir. de proteccion ciudadana"/>
        <s v="subse. de la mujer"/>
        <s v="Dir. general de prom. del desarrollo Cultural "/>
        <s v="Dir. transito y bromatologia "/>
        <s v="prevencion y control vial"/>
        <s v="subse de servicios"/>
        <s v="subse de servicios "/>
        <s v="Subsecretaria de educacion "/>
        <s v="seguridad vial"/>
      </sharedItems>
    </cacheField>
    <cacheField name="Total de diferencia" numFmtId="0">
      <sharedItems containsString="0" containsBlank="1" containsNumber="1" minValue="7091438" maxValue="275379557.13"/>
    </cacheField>
  </cacheFields>
  <extLst>
    <ext xmlns:x14="http://schemas.microsoft.com/office/spreadsheetml/2009/9/main" uri="{725AE2AE-9491-48be-B2B4-4EB974FC3084}">
      <x14:pivotCacheDefinition pivotCacheId="134226331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0.658495833333" createdVersion="8" refreshedVersion="8" minRefreshableVersion="3" recordCount="658" xr:uid="{74F922DF-96A6-4817-A8B3-57D00DDB8A26}">
  <cacheSource type="worksheet">
    <worksheetSource ref="A842:I1500" sheet="Base de datos"/>
  </cacheSource>
  <cacheFields count="9">
    <cacheField name="Proveedores" numFmtId="0">
      <sharedItems containsBlank="1" count="78">
        <s v="cristales mitre"/>
        <s v="panamerican vial "/>
        <s v="rotela diego"/>
        <s v="majuser s.a"/>
        <s v="ache"/>
        <s v="mordisco "/>
        <s v="voltaica"/>
        <s v="Dene "/>
        <s v="adorno sebastian"/>
        <s v="pda campo y jardin"/>
        <s v="juan carlos quinteros "/>
        <s v="Juan Ignacio Frutos "/>
        <s v="Mitre"/>
        <s v="RPM"/>
        <s v="ucci juan jose"/>
        <s v="pda"/>
        <s v="quinteros juan carlos"/>
        <s v="FEBRERO"/>
        <s v="rotela diego javier"/>
        <s v="ato"/>
        <s v="universo deportivo "/>
        <s v="martinez mariana"/>
        <s v="quinteros gabriel"/>
        <s v="freire anibal"/>
        <s v="veron marcelo"/>
        <s v="ato group"/>
        <s v="ucci juan"/>
        <s v="quinteros "/>
        <s v="frutos juan ignacio"/>
        <s v="auditech"/>
        <s v="antagli y mangini"/>
        <s v="ariel pierini "/>
        <s v="quinteros gabriel "/>
        <s v="arce eber ariel"/>
        <s v="oskorip"/>
        <s v="faytim "/>
        <s v="barbieris raul"/>
        <s v="carlini javier"/>
        <s v="dist. integral de maderas"/>
        <s v="santero calderas"/>
        <s v="munguia rosana"/>
        <s v="ortega rodrigo"/>
        <s v="ortega rodrigo "/>
        <s v="rotela javier"/>
        <s v="jaliffi damian"/>
        <s v="aballay adelmo"/>
        <s v="costello "/>
        <s v="C&amp;I Constructora"/>
        <s v="quinteros"/>
        <s v="manggini ulises"/>
        <s v="baez silvia"/>
        <s v="carlini"/>
        <s v="emprendimientos mall"/>
        <s v="munguia"/>
        <s v="MARZO"/>
        <s v="nievas  ignacio"/>
        <s v="critales mitre"/>
        <s v="rectificacion dene "/>
        <s v="rotela diego "/>
        <s v="constructora sidco "/>
        <s v="Cristales mitre "/>
        <s v="garcia diego"/>
        <s v="Antagli y mangini "/>
        <s v="ache "/>
        <s v="Roa"/>
        <s v="Carlini "/>
        <s v="horce "/>
        <s v="rectificacion dene"/>
        <s v="vital life"/>
        <s v="matias marenna"/>
        <s v="leyro atilio "/>
        <s v="M2R "/>
        <s v="pencoff maximiliano"/>
        <s v="ibarra luis ramon"/>
        <s v="Freire"/>
        <s v="ABRIL"/>
        <s v="ato group "/>
        <m/>
      </sharedItems>
    </cacheField>
    <cacheField name="Precio Inicial " numFmtId="0">
      <sharedItems containsString="0" containsBlank="1" containsNumber="1" minValue="130000" maxValue="544452000"/>
    </cacheField>
    <cacheField name="Precio Final" numFmtId="0">
      <sharedItems containsString="0" containsBlank="1" containsNumber="1" minValue="120000" maxValue="530328000"/>
    </cacheField>
    <cacheField name="Saldo de diferencia" numFmtId="0">
      <sharedItems containsString="0" containsBlank="1" containsNumber="1" minValue="0" maxValue="24019330"/>
    </cacheField>
    <cacheField name="Diferencia" numFmtId="0">
      <sharedItems containsBlank="1" containsMixedTypes="1" containsNumber="1" minValue="1.261407675959495E-2" maxValue="1.0140233722871452"/>
    </cacheField>
    <cacheField name="Detalle" numFmtId="0">
      <sharedItems containsBlank="1"/>
    </cacheField>
    <cacheField name="fecha" numFmtId="0">
      <sharedItems containsBlank="1" count="6">
        <s v="Enero"/>
        <m/>
        <s v="Febrero"/>
        <s v="Marzo "/>
        <s v="Abril"/>
        <s v="Marzo" u="1"/>
      </sharedItems>
    </cacheField>
    <cacheField name="secretaria" numFmtId="0">
      <sharedItems containsBlank="1" count="17">
        <s v="sec. general"/>
        <s v="edificio"/>
        <s v="gobierno"/>
        <s v="obras"/>
        <s v="hacienda"/>
        <m/>
        <s v="gobierno "/>
        <s v="Hacienda "/>
        <s v="salud"/>
        <s v="palacio"/>
        <s v="HCD"/>
        <s v="industria"/>
        <s v="Sec. general "/>
        <s v="Salud "/>
        <s v="Sec. Prod. e Indu."/>
        <s v="industria "/>
        <s v="sec general"/>
      </sharedItems>
    </cacheField>
    <cacheField name="Dir. o Sub. Sec." numFmtId="0">
      <sharedItems containsBlank="1" count="54">
        <s v="taller y pañol"/>
        <m/>
        <s v="Subse Educacion "/>
        <s v="Taller y pañol "/>
        <s v="COM"/>
        <s v="educacion"/>
        <s v="tesoreria"/>
        <s v="Logistica vehicular "/>
        <s v="Dir. Faltas"/>
        <s v="dir. gral. de obras "/>
        <s v="deportes"/>
        <s v="subse. de la mujer "/>
        <s v="juventud"/>
        <s v="dir. gral. de obras"/>
        <s v="faltas"/>
        <s v="Centro de atencion municipal"/>
        <s v="subse. de seguridad"/>
        <s v="veterinario"/>
        <s v="SAME"/>
        <s v="polo"/>
        <s v="subse. de servicios"/>
        <s v="Htal. Abete"/>
        <s v="SIT"/>
        <s v="presupuesto"/>
        <s v="dir. de redes"/>
        <s v="subse de servicios "/>
        <s v="sub. secretaria de servicios "/>
        <s v="promocion social"/>
        <s v="energias alternativas"/>
        <s v="CCA"/>
        <s v="dir. de cementerio "/>
        <s v="bromatologia"/>
        <s v="politica local"/>
        <s v="dir. legal y tecnica "/>
        <s v="seguridad"/>
        <s v="CCA "/>
        <s v="Subse Medio ambiente"/>
        <s v="Dir Gral. Desarrollo Eco."/>
        <s v="Dir Gral. de Cultura "/>
        <s v="dir. gral. de coordinacion"/>
        <s v="Dir. contro de logistica vehicular "/>
        <s v="proteccion ciudadana "/>
        <s v="logistica hospitalaria"/>
        <s v="centro municipal de estudios"/>
        <s v="logisitica hospitalaria"/>
        <s v="logisitica vehicular "/>
        <s v="proteccion ciudadana"/>
        <s v="gendarmeria "/>
        <s v="HCD"/>
        <s v="oftalmologia "/>
        <s v="obras municipales"/>
        <s v="direccion de servicios "/>
        <s v="subsecretaria de gobierno"/>
        <s v="subse de la muj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">
  <r>
    <x v="0"/>
    <n v="1359900"/>
    <n v="1184900"/>
    <n v="175000"/>
    <n v="0.14769178833656849"/>
    <s v="discos de corte "/>
    <x v="0"/>
    <x v="0"/>
    <x v="0"/>
    <n v="38738923.960000001"/>
  </r>
  <r>
    <x v="1"/>
    <n v="78672000"/>
    <n v="69600000"/>
    <n v="9072000"/>
    <n v="0.13034482758620689"/>
    <s v="alquiler de camion hidrolavador "/>
    <x v="0"/>
    <x v="1"/>
    <x v="0"/>
    <m/>
  </r>
  <r>
    <x v="2"/>
    <n v="61838200.090000004"/>
    <n v="47804507"/>
    <n v="14188679.039999999"/>
    <n v="0.29356422585845315"/>
    <s v="Indumentaria "/>
    <x v="0"/>
    <x v="2"/>
    <x v="0"/>
    <m/>
  </r>
  <r>
    <x v="3"/>
    <n v="5465707.3200000003"/>
    <n v="4919136.58"/>
    <n v="546570.74000000022"/>
    <n v="0.111111112918113"/>
    <s v="sistema de hidratantes contra incendios "/>
    <x v="0"/>
    <x v="3"/>
    <x v="1"/>
    <m/>
  </r>
  <r>
    <x v="4"/>
    <n v="1712700"/>
    <n v="1455795"/>
    <n v="256905"/>
    <n v="0.17647058823529413"/>
    <s v="Alambrado "/>
    <x v="0"/>
    <x v="0"/>
    <x v="0"/>
    <m/>
  </r>
  <r>
    <x v="5"/>
    <n v="23289000"/>
    <n v="17493000"/>
    <n v="5796000"/>
    <n v="0.33133253301320525"/>
    <s v="Cerco perimetral "/>
    <x v="0"/>
    <x v="0"/>
    <x v="0"/>
    <m/>
  </r>
  <r>
    <x v="6"/>
    <n v="4700000"/>
    <n v="4324000"/>
    <n v="376000"/>
    <n v="8.6956521739130432E-2"/>
    <s v="Sala hospitalaria "/>
    <x v="0"/>
    <x v="4"/>
    <x v="0"/>
    <m/>
  </r>
  <r>
    <x v="7"/>
    <n v="741410"/>
    <n v="717530"/>
    <n v="23880"/>
    <n v="3.3280838431842569E-2"/>
    <s v="remodelacion oficina judiciales"/>
    <x v="0"/>
    <x v="5"/>
    <x v="2"/>
    <m/>
  </r>
  <r>
    <x v="8"/>
    <n v="3015000"/>
    <n v="2608000"/>
    <n v="407000"/>
    <n v="0.15605828220858894"/>
    <s v="Armario/estanteria "/>
    <x v="0"/>
    <x v="6"/>
    <x v="3"/>
    <m/>
  </r>
  <r>
    <x v="9"/>
    <n v="568400"/>
    <n v="519960"/>
    <n v="48440"/>
    <n v="9.316101238556812E-2"/>
    <s v="precintos azules enumerados para la venta de hormigon"/>
    <x v="0"/>
    <x v="1"/>
    <x v="0"/>
    <m/>
  </r>
  <r>
    <x v="0"/>
    <n v="929500"/>
    <n v="819000"/>
    <n v="110500"/>
    <n v="0.13492063492063491"/>
    <s v="curso de refrigeracion"/>
    <x v="0"/>
    <x v="7"/>
    <x v="4"/>
    <m/>
  </r>
  <r>
    <x v="10"/>
    <n v="616853.16"/>
    <n v="567504.01"/>
    <n v="49349.150000000023"/>
    <n v="8.6958240171730275E-2"/>
    <s v="Reparacion "/>
    <x v="0"/>
    <x v="1"/>
    <x v="0"/>
    <m/>
  </r>
  <r>
    <x v="10"/>
    <n v="1451745.03"/>
    <n v="1335631"/>
    <n v="116114.03000000003"/>
    <n v="8.6935710536817451E-2"/>
    <s v="Reparacion "/>
    <x v="0"/>
    <x v="1"/>
    <x v="0"/>
    <m/>
  </r>
  <r>
    <x v="11"/>
    <n v="537966"/>
    <n v="509652"/>
    <n v="28314"/>
    <n v="5.5555555555555552E-2"/>
    <s v="repuestos  int 79"/>
    <x v="0"/>
    <x v="1"/>
    <x v="0"/>
    <m/>
  </r>
  <r>
    <x v="11"/>
    <n v="1876467"/>
    <n v="1731864"/>
    <n v="144603"/>
    <n v="8.3495586258505283E-2"/>
    <s v="repuestos int 225"/>
    <x v="0"/>
    <x v="1"/>
    <x v="0"/>
    <m/>
  </r>
  <r>
    <x v="11"/>
    <n v="522538"/>
    <n v="495036"/>
    <n v="27502"/>
    <n v="5.5555555555555552E-2"/>
    <s v="repuestos int 52"/>
    <x v="0"/>
    <x v="1"/>
    <x v="0"/>
    <m/>
  </r>
  <r>
    <x v="11"/>
    <n v="768834"/>
    <n v="726121"/>
    <n v="42713"/>
    <n v="5.8823529411764705E-2"/>
    <s v="repuestos int 51"/>
    <x v="0"/>
    <x v="1"/>
    <x v="0"/>
    <m/>
  </r>
  <r>
    <x v="11"/>
    <n v="179322"/>
    <n v="168751"/>
    <n v="10571"/>
    <n v="6.2642591747604462E-2"/>
    <s v="repuestos int 96"/>
    <x v="0"/>
    <x v="1"/>
    <x v="0"/>
    <m/>
  </r>
  <r>
    <x v="11"/>
    <n v="105270"/>
    <n v="97071"/>
    <n v="8199"/>
    <n v="8.4463949068207811E-2"/>
    <s v="repuestos int 110"/>
    <x v="0"/>
    <x v="1"/>
    <x v="0"/>
    <m/>
  </r>
  <r>
    <x v="11"/>
    <n v="321860"/>
    <n v="304920"/>
    <n v="16940"/>
    <n v="5.5555555555555552E-2"/>
    <s v="repuestos int 118"/>
    <x v="0"/>
    <x v="1"/>
    <x v="0"/>
    <m/>
  </r>
  <r>
    <x v="11"/>
    <n v="210419"/>
    <n v="199166"/>
    <n v="11253"/>
    <n v="5.6500607533414335E-2"/>
    <s v="repuestos int 031"/>
    <x v="0"/>
    <x v="1"/>
    <x v="0"/>
    <m/>
  </r>
  <r>
    <x v="11"/>
    <n v="234135"/>
    <n v="221128"/>
    <n v="13007"/>
    <n v="5.8821135270069824E-2"/>
    <s v="repuestos int 035"/>
    <x v="0"/>
    <x v="1"/>
    <x v="0"/>
    <m/>
  </r>
  <r>
    <x v="12"/>
    <n v="1444795"/>
    <n v="571095"/>
    <n v="873700"/>
    <n v="1.5298680604803054"/>
    <s v="insumos termomecanicos"/>
    <x v="0"/>
    <x v="8"/>
    <x v="0"/>
    <m/>
  </r>
  <r>
    <x v="12"/>
    <n v="389994"/>
    <n v="97207.5"/>
    <n v="292786.5"/>
    <n v="3.0119743846925391"/>
    <s v="insumos termomecanicos"/>
    <x v="0"/>
    <x v="8"/>
    <x v="0"/>
    <m/>
  </r>
  <r>
    <x v="12"/>
    <n v="3441791.3"/>
    <n v="1944547.5"/>
    <n v="1497243.7999999998"/>
    <n v="0.76997028871755502"/>
    <s v="insumos termomecanicos"/>
    <x v="0"/>
    <x v="8"/>
    <x v="0"/>
    <m/>
  </r>
  <r>
    <x v="12"/>
    <n v="6625483.6299999999"/>
    <n v="4337904"/>
    <n v="2287579.63"/>
    <n v="0.52734676239953671"/>
    <s v="insumos termomecanicos"/>
    <x v="0"/>
    <x v="8"/>
    <x v="0"/>
    <m/>
  </r>
  <r>
    <x v="13"/>
    <n v="610411.51"/>
    <n v="399274.44"/>
    <n v="211137.07"/>
    <n v="0.5288018687096524"/>
    <s v="profilactico "/>
    <x v="0"/>
    <x v="6"/>
    <x v="5"/>
    <m/>
  </r>
  <r>
    <x v="5"/>
    <n v="8090450"/>
    <n v="6286000"/>
    <n v="1804450"/>
    <n v="0.2870585427935094"/>
    <s v="cerco"/>
    <x v="0"/>
    <x v="9"/>
    <x v="0"/>
    <m/>
  </r>
  <r>
    <x v="11"/>
    <n v="278445"/>
    <n v="262485"/>
    <n v="15960"/>
    <n v="6.0803474484256242E-2"/>
    <s v="repuestos int 176"/>
    <x v="0"/>
    <x v="1"/>
    <x v="0"/>
    <m/>
  </r>
  <r>
    <x v="11"/>
    <n v="503481"/>
    <n v="476982"/>
    <n v="26499"/>
    <n v="5.5555555555555552E-2"/>
    <s v="repuestos int 198"/>
    <x v="0"/>
    <x v="1"/>
    <x v="0"/>
    <m/>
  </r>
  <r>
    <x v="11"/>
    <n v="152460"/>
    <n v="143990"/>
    <n v="8470"/>
    <n v="5.8823529411764705E-2"/>
    <s v="repuestos int 182"/>
    <x v="0"/>
    <x v="1"/>
    <x v="0"/>
    <m/>
  </r>
  <r>
    <x v="11"/>
    <n v="519453"/>
    <n v="490595"/>
    <n v="28858"/>
    <n v="5.8822450289954038E-2"/>
    <s v="repuestos int 68"/>
    <x v="0"/>
    <x v="1"/>
    <x v="0"/>
    <m/>
  </r>
  <r>
    <x v="11"/>
    <n v="389500"/>
    <n v="367800"/>
    <n v="21700"/>
    <n v="5.8999456226209897E-2"/>
    <s v="repuestos int 93"/>
    <x v="0"/>
    <x v="1"/>
    <x v="0"/>
    <m/>
  </r>
  <r>
    <x v="8"/>
    <n v="1074000"/>
    <n v="873000"/>
    <n v="201000"/>
    <n v="0.23024054982817868"/>
    <m/>
    <x v="0"/>
    <x v="3"/>
    <x v="6"/>
    <m/>
  </r>
  <r>
    <x v="14"/>
    <m/>
    <m/>
    <m/>
    <m/>
    <m/>
    <x v="1"/>
    <x v="3"/>
    <x v="0"/>
    <m/>
  </r>
  <r>
    <x v="15"/>
    <n v="1656500"/>
    <n v="1512300"/>
    <n v="144200"/>
    <n v="9.5351451431594264E-2"/>
    <s v="int 329"/>
    <x v="2"/>
    <x v="1"/>
    <x v="0"/>
    <n v="41084649.189999998"/>
  </r>
  <r>
    <x v="15"/>
    <n v="2830000"/>
    <n v="2650000"/>
    <n v="180000"/>
    <n v="6.7924528301886791E-2"/>
    <s v="int 208"/>
    <x v="2"/>
    <x v="1"/>
    <x v="0"/>
    <m/>
  </r>
  <r>
    <x v="16"/>
    <n v="8640000"/>
    <n v="5670000"/>
    <n v="2970000"/>
    <n v="0.52380952380952384"/>
    <s v="juventud cristiana"/>
    <x v="2"/>
    <x v="1"/>
    <x v="0"/>
    <m/>
  </r>
  <r>
    <x v="17"/>
    <n v="4869000"/>
    <n v="4479480"/>
    <n v="389520"/>
    <n v="8.6956521739130432E-2"/>
    <s v="juventud cristiana"/>
    <x v="2"/>
    <x v="1"/>
    <x v="0"/>
    <m/>
  </r>
  <r>
    <x v="18"/>
    <n v="490000"/>
    <n v="441000"/>
    <n v="49000"/>
    <n v="0.1111111111111111"/>
    <s v="juventud cristiana"/>
    <x v="2"/>
    <x v="1"/>
    <x v="0"/>
    <m/>
  </r>
  <r>
    <x v="19"/>
    <n v="6538366.5099999998"/>
    <n v="6505674.6900000004"/>
    <n v="32691.819999999367"/>
    <n v="5.0251236893616279E-3"/>
    <s v="reparacion AA ULG polvorines"/>
    <x v="2"/>
    <x v="1"/>
    <x v="0"/>
    <m/>
  </r>
  <r>
    <x v="19"/>
    <n v="3124300.5"/>
    <n v="2968085.48"/>
    <n v="156215.02000000002"/>
    <n v="5.2631577174118323E-2"/>
    <s v="instalacion AA oficina Lujan "/>
    <x v="2"/>
    <x v="10"/>
    <x v="0"/>
    <m/>
  </r>
  <r>
    <x v="19"/>
    <n v="6625483.6299999999"/>
    <n v="4337904"/>
    <n v="2287579.63"/>
    <n v="0.52734676239953671"/>
    <s v="polo UTIA"/>
    <x v="2"/>
    <x v="8"/>
    <x v="0"/>
    <m/>
  </r>
  <r>
    <x v="19"/>
    <n v="3441791.3"/>
    <n v="1944547.5"/>
    <n v="1497243.7999999998"/>
    <n v="0.76997028871755502"/>
    <s v="Insumos Htal. Drozdowsky"/>
    <x v="2"/>
    <x v="8"/>
    <x v="0"/>
    <m/>
  </r>
  <r>
    <x v="19"/>
    <n v="1444795"/>
    <n v="571095"/>
    <n v="873700"/>
    <n v="1.5298680604803054"/>
    <s v="insumos termomecanicos"/>
    <x v="2"/>
    <x v="8"/>
    <x v="0"/>
    <m/>
  </r>
  <r>
    <x v="19"/>
    <n v="389994"/>
    <n v="97207.5"/>
    <n v="292786.5"/>
    <n v="3.0119743846925391"/>
    <s v="insumos termomecanicos"/>
    <x v="2"/>
    <x v="8"/>
    <x v="0"/>
    <m/>
  </r>
  <r>
    <x v="19"/>
    <n v="1833350.75"/>
    <n v="656049"/>
    <n v="1177301.75"/>
    <n v="1.7945332589486456"/>
    <s v="insumos termomecanicos"/>
    <x v="2"/>
    <x v="8"/>
    <x v="0"/>
    <m/>
  </r>
  <r>
    <x v="17"/>
    <n v="14274437"/>
    <n v="13560734.199999999"/>
    <n v="713702.80000000075"/>
    <n v="5.2630100219794945E-2"/>
    <s v="mantenimiento bomba sumergible tunel 197"/>
    <x v="2"/>
    <x v="1"/>
    <x v="0"/>
    <m/>
  </r>
  <r>
    <x v="20"/>
    <n v="285076"/>
    <n v="270072"/>
    <n v="15004"/>
    <n v="5.5555555555555552E-2"/>
    <s v="repuestos in 117"/>
    <x v="2"/>
    <x v="1"/>
    <x v="7"/>
    <m/>
  </r>
  <r>
    <x v="17"/>
    <n v="14274457"/>
    <n v="13560734.199999999"/>
    <n v="713722.80000000075"/>
    <n v="5.2631575066193745E-2"/>
    <s v="reparacion bomba sumergible tunel 197"/>
    <x v="2"/>
    <x v="1"/>
    <x v="0"/>
    <m/>
  </r>
  <r>
    <x v="21"/>
    <n v="974200"/>
    <n v="876780"/>
    <n v="97420"/>
    <n v="0.1111111111111111"/>
    <s v="reparacion de acmion volcador iveco int 385"/>
    <x v="2"/>
    <x v="11"/>
    <x v="7"/>
    <m/>
  </r>
  <r>
    <x v="21"/>
    <n v="3836000"/>
    <n v="3452400"/>
    <n v="383600"/>
    <n v="0.1111111111111111"/>
    <s v="reparacion de hidroelevador int 234"/>
    <x v="2"/>
    <x v="11"/>
    <x v="7"/>
    <m/>
  </r>
  <r>
    <x v="22"/>
    <n v="1290000"/>
    <n v="930000"/>
    <n v="360000"/>
    <n v="0.38709677419354838"/>
    <s v="aire acondicionado portatil "/>
    <x v="2"/>
    <x v="12"/>
    <x v="8"/>
    <m/>
  </r>
  <r>
    <x v="23"/>
    <n v="7145800"/>
    <n v="6490236"/>
    <n v="655564"/>
    <n v="0.10100772914883219"/>
    <s v="Prov de equipamiento electronico"/>
    <x v="2"/>
    <x v="6"/>
    <x v="9"/>
    <m/>
  </r>
  <r>
    <x v="24"/>
    <n v="2403430"/>
    <n v="2331325"/>
    <n v="72105"/>
    <n v="3.0928763685886779E-2"/>
    <s v="repuestos int 74"/>
    <x v="2"/>
    <x v="1"/>
    <x v="0"/>
    <m/>
  </r>
  <r>
    <x v="24"/>
    <n v="2403430"/>
    <n v="2331325"/>
    <n v="72105"/>
    <n v="3.0928763685886779E-2"/>
    <s v="repuestos int 149"/>
    <x v="2"/>
    <x v="1"/>
    <x v="0"/>
    <m/>
  </r>
  <r>
    <x v="24"/>
    <n v="2403430"/>
    <n v="2331325"/>
    <n v="72105"/>
    <n v="3.0928763685886779E-2"/>
    <s v="repuestos int 175"/>
    <x v="2"/>
    <x v="1"/>
    <x v="0"/>
    <m/>
  </r>
  <r>
    <x v="24"/>
    <n v="2403430"/>
    <n v="2331325"/>
    <n v="72105"/>
    <n v="3.0928763685886779E-2"/>
    <s v="repuestos int 176"/>
    <x v="2"/>
    <x v="1"/>
    <x v="0"/>
    <m/>
  </r>
  <r>
    <x v="24"/>
    <n v="2403430"/>
    <n v="2331325"/>
    <n v="72105"/>
    <n v="3.0928763685886779E-2"/>
    <s v="repuestos int 329"/>
    <x v="2"/>
    <x v="1"/>
    <x v="0"/>
    <m/>
  </r>
  <r>
    <x v="24"/>
    <n v="2403430"/>
    <n v="2331325"/>
    <n v="72105"/>
    <n v="3.0928763685886779E-2"/>
    <s v="repuestos int 330"/>
    <x v="2"/>
    <x v="1"/>
    <x v="0"/>
    <m/>
  </r>
  <r>
    <x v="19"/>
    <n v="1469788.63"/>
    <n v="719285.85"/>
    <n v="750502.77999999991"/>
    <n v="1.043399894492572"/>
    <s v="inusmos termomecanicos tomografo polo"/>
    <x v="2"/>
    <x v="8"/>
    <x v="0"/>
    <m/>
  </r>
  <r>
    <x v="19"/>
    <n v="1950000"/>
    <n v="1583400"/>
    <n v="366600"/>
    <n v="0.23152709359605911"/>
    <s v="AA 3000frg "/>
    <x v="2"/>
    <x v="8"/>
    <x v="0"/>
    <m/>
  </r>
  <r>
    <x v="19"/>
    <n v="1987500"/>
    <n v="1583400"/>
    <n v="404100"/>
    <n v="0.25521030693444485"/>
    <s v="AA 3000frg "/>
    <x v="2"/>
    <x v="8"/>
    <x v="0"/>
    <m/>
  </r>
  <r>
    <x v="19"/>
    <n v="445400"/>
    <n v="329700.42"/>
    <n v="115699.58000000002"/>
    <n v="0.35092336248767902"/>
    <s v="garrafa de gas refrigerante R410 x 11,3kg"/>
    <x v="2"/>
    <x v="8"/>
    <x v="0"/>
    <m/>
  </r>
  <r>
    <x v="11"/>
    <n v="271800"/>
    <n v="256700"/>
    <n v="15100"/>
    <n v="5.8823529411764705E-2"/>
    <s v="repuestos int 119"/>
    <x v="2"/>
    <x v="1"/>
    <x v="0"/>
    <m/>
  </r>
  <r>
    <x v="11"/>
    <n v="101337"/>
    <n v="95706"/>
    <n v="5631"/>
    <n v="5.8836436587047833E-2"/>
    <s v="repuestos int 219/215/217"/>
    <x v="2"/>
    <x v="1"/>
    <x v="0"/>
    <m/>
  </r>
  <r>
    <x v="11"/>
    <n v="180260"/>
    <n v="171490"/>
    <n v="8770"/>
    <n v="5.1140008163741327E-2"/>
    <s v="repuestos int 92"/>
    <x v="2"/>
    <x v="1"/>
    <x v="0"/>
    <m/>
  </r>
  <r>
    <x v="25"/>
    <n v="598500"/>
    <n v="548600"/>
    <n v="49900"/>
    <n v="9.0958804228946408E-2"/>
    <s v="reparacion int 388"/>
    <x v="2"/>
    <x v="1"/>
    <x v="0"/>
    <m/>
  </r>
  <r>
    <x v="11"/>
    <n v="316800"/>
    <n v="299200"/>
    <n v="17600"/>
    <n v="5.8823529411764705E-2"/>
    <s v="repuestos int 93"/>
    <x v="2"/>
    <x v="1"/>
    <x v="0"/>
    <m/>
  </r>
  <r>
    <x v="19"/>
    <n v="38391952.07"/>
    <n v="32633159.260000002"/>
    <n v="5758792.8099999987"/>
    <n v="0.17647058821726838"/>
    <s v="reparacion nucleo D // Roof Top N°1,2,3,4"/>
    <x v="2"/>
    <x v="10"/>
    <x v="0"/>
    <m/>
  </r>
  <r>
    <x v="11"/>
    <n v="1384083"/>
    <n v="1307189"/>
    <n v="76894"/>
    <n v="5.8823934411932781E-2"/>
    <s v="repuestos mercedes benz 1620 int 131"/>
    <x v="2"/>
    <x v="11"/>
    <x v="0"/>
    <m/>
  </r>
  <r>
    <x v="11"/>
    <n v="246600"/>
    <n v="234270"/>
    <n v="12330"/>
    <n v="5.2631578947368418E-2"/>
    <s v="repuestos iveco daily int 13"/>
    <x v="2"/>
    <x v="11"/>
    <x v="0"/>
    <m/>
  </r>
  <r>
    <x v="11"/>
    <n v="587012"/>
    <n v="554401"/>
    <n v="32611"/>
    <n v="5.8822043971782159E-2"/>
    <s v="repuestos iveco daily int 281"/>
    <x v="2"/>
    <x v="11"/>
    <x v="0"/>
    <m/>
  </r>
  <r>
    <x v="11"/>
    <n v="708286"/>
    <n v="668937"/>
    <n v="39349"/>
    <n v="5.8823177668450091E-2"/>
    <s v="repuestos camion mercedes benz 1620 int 110"/>
    <x v="2"/>
    <x v="11"/>
    <x v="0"/>
    <m/>
  </r>
  <r>
    <x v="11"/>
    <n v="278926"/>
    <n v="263430"/>
    <n v="15496"/>
    <n v="5.8823976008806893E-2"/>
    <s v="repuesto vw amarok int 102"/>
    <x v="2"/>
    <x v="11"/>
    <x v="0"/>
    <m/>
  </r>
  <r>
    <x v="11"/>
    <n v="449640"/>
    <n v="424660"/>
    <n v="24980"/>
    <n v="5.8823529411764705E-2"/>
    <s v="repuestos cargador frontal caterpillar 930s int 4"/>
    <x v="2"/>
    <x v="11"/>
    <x v="0"/>
    <m/>
  </r>
  <r>
    <x v="26"/>
    <n v="1700000"/>
    <n v="1530000"/>
    <n v="170000"/>
    <n v="0.1111111111111111"/>
    <s v="reparacion de movil n°211"/>
    <x v="2"/>
    <x v="7"/>
    <x v="10"/>
    <m/>
  </r>
  <r>
    <x v="26"/>
    <n v="1700000"/>
    <n v="1530000"/>
    <n v="170000"/>
    <n v="0.1111111111111111"/>
    <s v="reparacion de movil n°168"/>
    <x v="2"/>
    <x v="7"/>
    <x v="10"/>
    <m/>
  </r>
  <r>
    <x v="26"/>
    <n v="1700000"/>
    <n v="1530000"/>
    <n v="170000"/>
    <n v="0.1111111111111111"/>
    <s v="reparacion de movil n°158"/>
    <x v="2"/>
    <x v="7"/>
    <x v="10"/>
    <m/>
  </r>
  <r>
    <x v="11"/>
    <n v="3049200"/>
    <n v="2879800"/>
    <n v="169400"/>
    <n v="5.8823529411764705E-2"/>
    <s v="rampa doble con guia telescopica "/>
    <x v="2"/>
    <x v="1"/>
    <x v="11"/>
    <m/>
  </r>
  <r>
    <x v="8"/>
    <n v="3450000"/>
    <n v="3000000"/>
    <n v="450000"/>
    <n v="0.15"/>
    <s v="cubos luminosos "/>
    <x v="2"/>
    <x v="6"/>
    <x v="12"/>
    <m/>
  </r>
  <r>
    <x v="24"/>
    <n v="4275000"/>
    <n v="4125950"/>
    <n v="149050"/>
    <n v="3.6125013633223867E-2"/>
    <s v="rerparacion tractor "/>
    <x v="2"/>
    <x v="6"/>
    <x v="13"/>
    <m/>
  </r>
  <r>
    <x v="27"/>
    <n v="93000000"/>
    <n v="88350000"/>
    <n v="4650000"/>
    <n v="5.2631578947368418E-2"/>
    <s v="reparacion mixer 128 por vuelco"/>
    <x v="2"/>
    <x v="1"/>
    <x v="0"/>
    <m/>
  </r>
  <r>
    <x v="28"/>
    <m/>
    <m/>
    <m/>
    <m/>
    <m/>
    <x v="1"/>
    <x v="3"/>
    <x v="0"/>
    <m/>
  </r>
  <r>
    <x v="29"/>
    <n v="174320"/>
    <n v="168830"/>
    <n v="5490"/>
    <n v="3.2517917431736064E-2"/>
    <s v="Manguera de admision hibraulica hyundai int 51"/>
    <x v="3"/>
    <x v="13"/>
    <x v="14"/>
    <n v="14039960.9"/>
  </r>
  <r>
    <x v="29"/>
    <n v="1049370"/>
    <n v="1017980"/>
    <n v="31390"/>
    <n v="3.0835576337452601E-2"/>
    <s v="reparacion punta de eje j int 193"/>
    <x v="3"/>
    <x v="13"/>
    <x v="14"/>
    <m/>
  </r>
  <r>
    <x v="29"/>
    <n v="5642720"/>
    <n v="5472440"/>
    <n v="170280"/>
    <n v="3.1115919041597533E-2"/>
    <s v="conjunto mando final tandem int 80"/>
    <x v="3"/>
    <x v="13"/>
    <x v="15"/>
    <m/>
  </r>
  <r>
    <x v="30"/>
    <n v="1235378"/>
    <n v="1170379"/>
    <n v="64999"/>
    <n v="5.5536710757797259E-2"/>
    <s v="repuestos para flota municipal "/>
    <x v="3"/>
    <x v="13"/>
    <x v="15"/>
    <m/>
  </r>
  <r>
    <x v="20"/>
    <n v="135828"/>
    <n v="127339"/>
    <n v="8489"/>
    <n v="6.6664572519024023E-2"/>
    <s v="reparacion vw amarok 2,0 int 90"/>
    <x v="3"/>
    <x v="13"/>
    <x v="15"/>
    <m/>
  </r>
  <r>
    <x v="30"/>
    <n v="159321"/>
    <n v="150936"/>
    <n v="8385"/>
    <n v="5.5553347114008583E-2"/>
    <s v="reparacion ford ranger int 348"/>
    <x v="3"/>
    <x v="13"/>
    <x v="15"/>
    <m/>
  </r>
  <r>
    <x v="20"/>
    <n v="154880"/>
    <n v="144040"/>
    <n v="10840"/>
    <n v="7.5256873090808113E-2"/>
    <s v="copia de llaves para vehiculo int 95 "/>
    <x v="3"/>
    <x v="13"/>
    <x v="15"/>
    <m/>
  </r>
  <r>
    <x v="20"/>
    <n v="339884"/>
    <n v="321996"/>
    <n v="17888"/>
    <n v="5.5553485136461321E-2"/>
    <s v="repuestos para ford 4000 int 115"/>
    <x v="3"/>
    <x v="13"/>
    <x v="15"/>
    <m/>
  </r>
  <r>
    <x v="30"/>
    <n v="1930825"/>
    <n v="1877191"/>
    <n v="53634"/>
    <n v="2.8571413351118773E-2"/>
    <s v="repuestos mb sprinter 515 int 29"/>
    <x v="3"/>
    <x v="13"/>
    <x v="15"/>
    <m/>
  </r>
  <r>
    <x v="30"/>
    <n v="321860"/>
    <n v="304920"/>
    <n v="16940"/>
    <n v="5.5555555555555552E-2"/>
    <s v="repuestos ford cargo 1722e int 233"/>
    <x v="3"/>
    <x v="3"/>
    <x v="0"/>
    <m/>
  </r>
  <r>
    <x v="31"/>
    <n v="97440750"/>
    <n v="92568712.5"/>
    <n v="4872037.5"/>
    <n v="5.2631578947368418E-2"/>
    <s v="reductores de velocidad sinusoidal"/>
    <x v="3"/>
    <x v="5"/>
    <x v="0"/>
    <m/>
  </r>
  <r>
    <x v="32"/>
    <n v="2370000"/>
    <n v="2190000"/>
    <n v="180000"/>
    <n v="8.2191780821917804E-2"/>
    <s v="Alquiler de impresoras"/>
    <x v="3"/>
    <x v="14"/>
    <x v="0"/>
    <m/>
  </r>
  <r>
    <x v="33"/>
    <n v="6618000"/>
    <n v="6498900"/>
    <n v="119100"/>
    <n v="1.8326178276323685E-2"/>
    <s v="camaras de seguridad"/>
    <x v="3"/>
    <x v="1"/>
    <x v="0"/>
    <m/>
  </r>
  <r>
    <x v="34"/>
    <n v="4524480"/>
    <n v="4298256"/>
    <n v="226224"/>
    <n v="5.2631578947368418E-2"/>
    <s v="indumentaria inspecciones"/>
    <x v="3"/>
    <x v="7"/>
    <x v="16"/>
    <m/>
  </r>
  <r>
    <x v="35"/>
    <n v="41710000"/>
    <n v="37539000"/>
    <n v="4171000"/>
    <n v="0.1111111111111111"/>
    <s v="techo bromatologia "/>
    <x v="3"/>
    <x v="15"/>
    <x v="0"/>
    <m/>
  </r>
  <r>
    <x v="36"/>
    <n v="6690849"/>
    <n v="6470849"/>
    <n v="220000"/>
    <n v="3.3998629855216837E-2"/>
    <s v="Insumos electricos "/>
    <x v="3"/>
    <x v="13"/>
    <x v="0"/>
    <m/>
  </r>
  <r>
    <x v="37"/>
    <n v="650000"/>
    <n v="575500"/>
    <n v="74500"/>
    <n v="0.12945264986967853"/>
    <s v="Indumentaria perdonal "/>
    <x v="3"/>
    <x v="3"/>
    <x v="0"/>
    <m/>
  </r>
  <r>
    <x v="38"/>
    <n v="2092400"/>
    <n v="2031385"/>
    <n v="61015"/>
    <n v="3.0036157596910484E-2"/>
    <s v="repuestos int 212-214-388"/>
    <x v="3"/>
    <x v="11"/>
    <x v="14"/>
    <m/>
  </r>
  <r>
    <x v="39"/>
    <n v="811000"/>
    <n v="758000"/>
    <n v="53000"/>
    <n v="6.9920844327176782E-2"/>
    <s v="Reparacion de camnion desobtructor int 233"/>
    <x v="3"/>
    <x v="11"/>
    <x v="14"/>
    <m/>
  </r>
  <r>
    <x v="23"/>
    <n v="6941200"/>
    <n v="3382570.6"/>
    <n v="3558629.4"/>
    <n v="1.0520488175472227"/>
    <s v="Insumos electricos "/>
    <x v="3"/>
    <x v="6"/>
    <x v="17"/>
    <m/>
  </r>
  <r>
    <x v="30"/>
    <n v="1458000"/>
    <n v="1377000"/>
    <n v="81000"/>
    <n v="5.8823529411764705E-2"/>
    <s v="Repuestos int 189"/>
    <x v="3"/>
    <x v="11"/>
    <x v="14"/>
    <m/>
  </r>
  <r>
    <x v="30"/>
    <n v="714920"/>
    <n v="693110"/>
    <n v="21810"/>
    <n v="3.1466866731110502E-2"/>
    <s v="Reparaciones int 381"/>
    <x v="3"/>
    <x v="11"/>
    <x v="14"/>
    <m/>
  </r>
  <r>
    <x v="30"/>
    <n v="252890"/>
    <n v="239580"/>
    <n v="13310"/>
    <n v="5.5555555555555552E-2"/>
    <s v="reparaciones int 68"/>
    <x v="3"/>
    <x v="11"/>
    <x v="14"/>
    <m/>
  </r>
  <r>
    <x v="40"/>
    <m/>
    <m/>
    <m/>
    <m/>
    <m/>
    <x v="1"/>
    <x v="3"/>
    <x v="0"/>
    <m/>
  </r>
  <r>
    <x v="41"/>
    <n v="12195787"/>
    <n v="11585997.65"/>
    <n v="609789.34999999963"/>
    <n v="5.263157894736839E-2"/>
    <s v="remodelacion centro de salud quesada "/>
    <x v="4"/>
    <x v="5"/>
    <x v="0"/>
    <n v="31569746.600000001"/>
  </r>
  <r>
    <x v="30"/>
    <n v="425122"/>
    <n v="401697"/>
    <n v="23425"/>
    <n v="5.8315098195903879E-2"/>
    <s v="reparaciones en autoelevador nissan int 205"/>
    <x v="4"/>
    <x v="3"/>
    <x v="0"/>
    <m/>
  </r>
  <r>
    <x v="19"/>
    <n v="14748398.720000001"/>
    <n v="13273558.85"/>
    <n v="1474839.870000001"/>
    <n v="0.11111111094369398"/>
    <s v="sistema bajo silueta para oficinas planta baja"/>
    <x v="4"/>
    <x v="16"/>
    <x v="18"/>
    <m/>
  </r>
  <r>
    <x v="20"/>
    <n v="217800"/>
    <n v="205700"/>
    <n v="12100"/>
    <n v="5.8823529411764705E-2"/>
    <s v="repuestos int 94"/>
    <x v="4"/>
    <x v="3"/>
    <x v="0"/>
    <m/>
  </r>
  <r>
    <x v="38"/>
    <n v="2870000"/>
    <n v="2609000"/>
    <n v="261000"/>
    <n v="0.1000383288616328"/>
    <s v="reparaciones int 213"/>
    <x v="4"/>
    <x v="13"/>
    <x v="14"/>
    <m/>
  </r>
  <r>
    <x v="42"/>
    <n v="856041.12"/>
    <n v="787600"/>
    <n v="68441.119999999995"/>
    <n v="8.689832402234636E-2"/>
    <s v="Bomba hidraulica p/ford 4000 int 214"/>
    <x v="4"/>
    <x v="16"/>
    <x v="14"/>
    <m/>
  </r>
  <r>
    <x v="42"/>
    <n v="830863.44"/>
    <n v="764500"/>
    <n v="66363.439999999944"/>
    <n v="8.6806330935251724E-2"/>
    <s v="Reparacion de caja hidraulica p/ford 4000 int 214"/>
    <x v="4"/>
    <x v="13"/>
    <x v="14"/>
    <m/>
  </r>
  <r>
    <x v="30"/>
    <n v="320863"/>
    <n v="303702"/>
    <n v="17161"/>
    <n v="5.6506048692468273E-2"/>
    <s v="Repuesto P/ Ford  4000 INT 214"/>
    <x v="4"/>
    <x v="16"/>
    <x v="14"/>
    <m/>
  </r>
  <r>
    <x v="21"/>
    <n v="277000"/>
    <n v="250000"/>
    <n v="27000"/>
    <n v="0.108"/>
    <s v="Reparacion de pala cargadora int 55"/>
    <x v="4"/>
    <x v="13"/>
    <x v="14"/>
    <m/>
  </r>
  <r>
    <x v="21"/>
    <n v="532400"/>
    <n v="498000"/>
    <n v="34400"/>
    <n v="6.9076305220883538E-2"/>
    <s v="reparacion de motoniveladora galion 830 int 81"/>
    <x v="4"/>
    <x v="16"/>
    <x v="14"/>
    <m/>
  </r>
  <r>
    <x v="43"/>
    <n v="17917560"/>
    <n v="12303615"/>
    <n v="5613945"/>
    <n v="0.45628418964670142"/>
    <s v="inusmos de limpieza"/>
    <x v="4"/>
    <x v="13"/>
    <x v="19"/>
    <m/>
  </r>
  <r>
    <x v="44"/>
    <n v="3859460"/>
    <n v="3702460"/>
    <n v="157000"/>
    <n v="4.240423934357157E-2"/>
    <s v="inusmos de informatica "/>
    <x v="4"/>
    <x v="7"/>
    <x v="20"/>
    <m/>
  </r>
  <r>
    <x v="44"/>
    <n v="6930000"/>
    <n v="6499600"/>
    <n v="430400"/>
    <n v="6.6219459659055943E-2"/>
    <s v="destructora de papel industrial"/>
    <x v="4"/>
    <x v="17"/>
    <x v="21"/>
    <m/>
  </r>
  <r>
    <x v="45"/>
    <n v="1834922.87"/>
    <n v="1809672.87"/>
    <n v="25250"/>
    <n v="1.3952797999342278E-2"/>
    <s v="ferreteria para el com"/>
    <x v="4"/>
    <x v="7"/>
    <x v="22"/>
    <m/>
  </r>
  <r>
    <x v="19"/>
    <n v="13962400"/>
    <n v="11868040.18"/>
    <n v="2094359.8200000003"/>
    <n v="0.17647057039201905"/>
    <s v="rejas azotea nucleo 1,2,3 y 4"/>
    <x v="4"/>
    <x v="10"/>
    <x v="0"/>
    <m/>
  </r>
  <r>
    <x v="46"/>
    <n v="210000"/>
    <n v="170000"/>
    <n v="40000"/>
    <n v="0.23529411764705882"/>
    <s v="estanteria metalica 2x0,90x0,30"/>
    <x v="4"/>
    <x v="8"/>
    <x v="0"/>
    <m/>
  </r>
  <r>
    <x v="47"/>
    <n v="625458"/>
    <n v="585000"/>
    <n v="40458"/>
    <n v="6.9158974358974362E-2"/>
    <s v="protector de tension "/>
    <x v="4"/>
    <x v="18"/>
    <x v="0"/>
    <m/>
  </r>
  <r>
    <x v="48"/>
    <n v="5100000"/>
    <n v="3900000"/>
    <n v="1200000"/>
    <n v="0.30769230769230771"/>
    <s v="fumigacion gendarmeria "/>
    <x v="4"/>
    <x v="7"/>
    <x v="23"/>
    <m/>
  </r>
  <r>
    <x v="49"/>
    <n v="2844800"/>
    <n v="2124900"/>
    <n v="719900"/>
    <n v="0.33879241376064756"/>
    <s v="pc i5 completa"/>
    <x v="4"/>
    <x v="1"/>
    <x v="24"/>
    <m/>
  </r>
  <r>
    <x v="49"/>
    <n v="4754400"/>
    <n v="3070400"/>
    <n v="1684000"/>
    <n v="0.54846274101094317"/>
    <s v="pc ryzen 3 completa + impresora multifuncion"/>
    <x v="4"/>
    <x v="1"/>
    <x v="25"/>
    <m/>
  </r>
  <r>
    <x v="22"/>
    <n v="1500000"/>
    <n v="600000"/>
    <n v="900000"/>
    <n v="1.5"/>
    <s v="pc ryzen 5 completa"/>
    <x v="4"/>
    <x v="18"/>
    <x v="26"/>
    <m/>
  </r>
  <r>
    <x v="47"/>
    <n v="8141311"/>
    <n v="5448654"/>
    <n v="2692657"/>
    <n v="0.49418755531182562"/>
    <s v="insumos para el mant y reparaciones de instalaciones electricas "/>
    <x v="4"/>
    <x v="11"/>
    <x v="27"/>
    <m/>
  </r>
  <r>
    <x v="50"/>
    <n v="50811500"/>
    <n v="41710728"/>
    <n v="9100772"/>
    <n v="0.21818780051021885"/>
    <s v="cerrammiento granja "/>
    <x v="4"/>
    <x v="11"/>
    <x v="28"/>
    <m/>
  </r>
  <r>
    <x v="51"/>
    <n v="56258555"/>
    <n v="51982070"/>
    <n v="4276485"/>
    <n v="8.2268462952706581E-2"/>
    <s v="hierros p/ tapas y sumideros "/>
    <x v="4"/>
    <x v="11"/>
    <x v="0"/>
    <m/>
  </r>
  <r>
    <x v="52"/>
    <m/>
    <m/>
    <m/>
    <m/>
    <m/>
    <x v="1"/>
    <x v="3"/>
    <x v="0"/>
    <m/>
  </r>
  <r>
    <x v="20"/>
    <n v="387000"/>
    <n v="365500"/>
    <n v="21500"/>
    <n v="5.8823529411764705E-2"/>
    <s v="kit de frenos Mercedes benz sprinter int 533"/>
    <x v="5"/>
    <x v="11"/>
    <x v="14"/>
    <n v="43089271.659999996"/>
  </r>
  <r>
    <x v="20"/>
    <n v="2797411"/>
    <n v="2706316"/>
    <n v="91095"/>
    <n v="3.3660149073500657E-2"/>
    <s v="Prov de repuestos ford 4000 Int 219"/>
    <x v="5"/>
    <x v="11"/>
    <x v="14"/>
    <m/>
  </r>
  <r>
    <x v="30"/>
    <n v="408408"/>
    <n v="386710"/>
    <n v="21698"/>
    <n v="5.6109229138113829E-2"/>
    <s v="Prov de repuestos Camion Ford cargo 1517e Int 232"/>
    <x v="5"/>
    <x v="11"/>
    <x v="14"/>
    <m/>
  </r>
  <r>
    <x v="16"/>
    <n v="13930000"/>
    <n v="12535000"/>
    <n v="1395000"/>
    <n v="0.1112883925009972"/>
    <s v="sonido expocar"/>
    <x v="5"/>
    <x v="7"/>
    <x v="29"/>
    <m/>
  </r>
  <r>
    <x v="53"/>
    <n v="250000"/>
    <n v="200000"/>
    <n v="50000"/>
    <n v="0.25"/>
    <s v="calcos expocar"/>
    <x v="5"/>
    <x v="7"/>
    <x v="29"/>
    <m/>
  </r>
  <r>
    <x v="46"/>
    <n v="1322000"/>
    <n v="865000"/>
    <n v="457000"/>
    <n v="0.52832369942196533"/>
    <s v="kit toxic shine expocar"/>
    <x v="5"/>
    <x v="7"/>
    <x v="29"/>
    <m/>
  </r>
  <r>
    <x v="20"/>
    <n v="354046"/>
    <n v="335412"/>
    <n v="18634"/>
    <n v="5.5555555555555552E-2"/>
    <s v="repuestos para int 70 Compactador vial"/>
    <x v="5"/>
    <x v="11"/>
    <x v="0"/>
    <m/>
  </r>
  <r>
    <x v="20"/>
    <n v="1049579"/>
    <n v="994334"/>
    <n v="55245"/>
    <n v="5.5559801837209627E-2"/>
    <s v="Repuestos para diferentes internos 228-384-379-198"/>
    <x v="5"/>
    <x v="11"/>
    <x v="0"/>
    <m/>
  </r>
  <r>
    <x v="20"/>
    <n v="3038686"/>
    <n v="2882213"/>
    <n v="156473"/>
    <n v="5.4289186815825202E-2"/>
    <s v="Repuestos para diferentes internos 381--389-379-390"/>
    <x v="5"/>
    <x v="13"/>
    <x v="0"/>
    <m/>
  </r>
  <r>
    <x v="20"/>
    <n v="1615736"/>
    <n v="1530700"/>
    <n v="85036"/>
    <n v="5.55536682563533E-2"/>
    <s v="Repuestos iveco daily int 101-15"/>
    <x v="5"/>
    <x v="13"/>
    <x v="0"/>
    <m/>
  </r>
  <r>
    <x v="54"/>
    <n v="1841649"/>
    <n v="1742748"/>
    <n v="98901"/>
    <n v="5.6750029264127685E-2"/>
    <s v="insumos electricos para el com"/>
    <x v="5"/>
    <x v="7"/>
    <x v="22"/>
    <m/>
  </r>
  <r>
    <x v="55"/>
    <n v="13060000"/>
    <n v="12198100"/>
    <n v="861900"/>
    <n v="7.0658545183266253E-2"/>
    <s v="Reparacion de radiadores "/>
    <x v="5"/>
    <x v="11"/>
    <x v="14"/>
    <m/>
  </r>
  <r>
    <x v="56"/>
    <n v="8965200"/>
    <n v="8750000"/>
    <n v="215200"/>
    <n v="2.4594285714285714E-2"/>
    <s v="Reparacion del vehiculo int 545 cargador frontal 938k"/>
    <x v="5"/>
    <x v="11"/>
    <x v="14"/>
    <m/>
  </r>
  <r>
    <x v="56"/>
    <n v="1915000"/>
    <n v="1723500"/>
    <n v="191500"/>
    <n v="0.1111111111111111"/>
    <s v="reparacion de minicargadora "/>
    <x v="5"/>
    <x v="11"/>
    <x v="15"/>
    <m/>
  </r>
  <r>
    <x v="57"/>
    <n v="5322130"/>
    <n v="5030460"/>
    <n v="291670"/>
    <n v="5.7980781081650584E-2"/>
    <s v="Materiales de ferreteria y electricos "/>
    <x v="5"/>
    <x v="11"/>
    <x v="30"/>
    <m/>
  </r>
  <r>
    <x v="56"/>
    <n v="1380000"/>
    <n v="1250000"/>
    <n v="130000"/>
    <n v="0.104"/>
    <s v="Repearicion camion ford cargo 1416 Int 45 "/>
    <x v="5"/>
    <x v="11"/>
    <x v="15"/>
    <m/>
  </r>
  <r>
    <x v="56"/>
    <n v="1360000"/>
    <n v="1230000"/>
    <n v="130000"/>
    <n v="0.10569105691056911"/>
    <s v="reparacion de grua almeja n9000 int 123"/>
    <x v="5"/>
    <x v="11"/>
    <x v="15"/>
    <m/>
  </r>
  <r>
    <x v="56"/>
    <n v="1563000"/>
    <n v="1460500"/>
    <n v="102500"/>
    <n v="7.018144471071551E-2"/>
    <s v="reparacion mini cargadora bobcat s220 int 176"/>
    <x v="5"/>
    <x v="11"/>
    <x v="15"/>
    <m/>
  </r>
  <r>
    <x v="30"/>
    <n v="1715856"/>
    <n v="1664591"/>
    <n v="51265"/>
    <n v="3.0797355025949318E-2"/>
    <s v="Repuestos iveco daily int 400"/>
    <x v="5"/>
    <x v="11"/>
    <x v="11"/>
    <m/>
  </r>
  <r>
    <x v="58"/>
    <n v="2000340"/>
    <n v="1900580"/>
    <n v="99760"/>
    <n v="5.2489240126698165E-2"/>
    <s v="Herramientas "/>
    <x v="5"/>
    <x v="15"/>
    <x v="0"/>
    <m/>
  </r>
  <r>
    <x v="56"/>
    <n v="1270000"/>
    <n v="1150000"/>
    <n v="120000"/>
    <n v="0.10434782608695652"/>
    <s v="Reparacion minicargadora Bobcat s650 int 330"/>
    <x v="5"/>
    <x v="19"/>
    <x v="15"/>
    <m/>
  </r>
  <r>
    <x v="30"/>
    <n v="192500"/>
    <n v="182875"/>
    <n v="9625"/>
    <n v="5.2631578947368418E-2"/>
    <s v="Luneta para motonovelador galion 830 int 79"/>
    <x v="5"/>
    <x v="19"/>
    <x v="14"/>
    <m/>
  </r>
  <r>
    <x v="48"/>
    <n v="25200000"/>
    <n v="15000000"/>
    <n v="10200000"/>
    <n v="0.68"/>
    <s v="fumigacion promocion social"/>
    <x v="5"/>
    <x v="19"/>
    <x v="31"/>
    <m/>
  </r>
  <r>
    <x v="59"/>
    <n v="4627600"/>
    <n v="3118800"/>
    <n v="1508800"/>
    <n v="0.48377581120943952"/>
    <s v="botas de lluvia urbanas "/>
    <x v="5"/>
    <x v="19"/>
    <x v="0"/>
    <m/>
  </r>
  <r>
    <x v="47"/>
    <n v="7018650"/>
    <n v="6294735"/>
    <n v="723915"/>
    <n v="0.11500325271834319"/>
    <s v="plafones y reflectores "/>
    <x v="5"/>
    <x v="6"/>
    <x v="32"/>
    <m/>
  </r>
  <r>
    <x v="19"/>
    <n v="17373356.039999999"/>
    <n v="13865173.380000001"/>
    <n v="3508182.6599999983"/>
    <n v="0.25302118941119206"/>
    <s v="mantenimiento aires data center "/>
    <x v="5"/>
    <x v="17"/>
    <x v="33"/>
    <m/>
  </r>
  <r>
    <x v="60"/>
    <n v="6318000"/>
    <n v="5340600"/>
    <n v="977400"/>
    <n v="0.18301314459049545"/>
    <s v="alambre de fardo n°16 acindar"/>
    <x v="5"/>
    <x v="20"/>
    <x v="0"/>
    <m/>
  </r>
  <r>
    <x v="61"/>
    <n v="761400"/>
    <n v="723060"/>
    <n v="38340"/>
    <n v="5.3024645257654969E-2"/>
    <s v="master class"/>
    <x v="5"/>
    <x v="7"/>
    <x v="34"/>
    <m/>
  </r>
  <r>
    <x v="61"/>
    <n v="466055"/>
    <n v="442670"/>
    <n v="23385"/>
    <n v="5.2827162446065917E-2"/>
    <s v="master class"/>
    <x v="5"/>
    <x v="7"/>
    <x v="34"/>
    <m/>
  </r>
  <r>
    <x v="62"/>
    <n v="4530160"/>
    <n v="4394250"/>
    <n v="135910"/>
    <n v="3.092905501507652E-2"/>
    <s v="reparacion int 192"/>
    <x v="5"/>
    <x v="20"/>
    <x v="14"/>
    <m/>
  </r>
  <r>
    <x v="62"/>
    <n v="363550"/>
    <n v="351640"/>
    <n v="11910"/>
    <n v="3.3869866909339096E-2"/>
    <s v="repuesto int 70"/>
    <x v="5"/>
    <x v="20"/>
    <x v="14"/>
    <m/>
  </r>
  <r>
    <x v="63"/>
    <n v="1748000"/>
    <n v="1680000"/>
    <n v="68000"/>
    <n v="4.0476190476190478E-2"/>
    <s v="reparacion int 383"/>
    <x v="5"/>
    <x v="20"/>
    <x v="14"/>
    <m/>
  </r>
  <r>
    <x v="63"/>
    <n v="1496000"/>
    <n v="1420000"/>
    <n v="76000"/>
    <n v="5.3521126760563378E-2"/>
    <s v="reparacion int 74"/>
    <x v="5"/>
    <x v="20"/>
    <x v="14"/>
    <m/>
  </r>
  <r>
    <x v="63"/>
    <n v="3333300"/>
    <n v="3155000"/>
    <n v="178300"/>
    <n v="5.6513470681458004E-2"/>
    <s v="reparacion int 79"/>
    <x v="5"/>
    <x v="20"/>
    <x v="14"/>
    <m/>
  </r>
  <r>
    <x v="63"/>
    <n v="930000"/>
    <n v="880000"/>
    <n v="50000"/>
    <n v="5.6818181818181816E-2"/>
    <s v="reparacion int 381"/>
    <x v="5"/>
    <x v="20"/>
    <x v="14"/>
    <m/>
  </r>
  <r>
    <x v="63"/>
    <n v="2650300"/>
    <n v="2510000"/>
    <n v="140300"/>
    <n v="5.5896414342629479E-2"/>
    <s v="reparacion int 390"/>
    <x v="5"/>
    <x v="20"/>
    <x v="14"/>
    <m/>
  </r>
  <r>
    <x v="63"/>
    <n v="2650300"/>
    <n v="2520000"/>
    <n v="130300"/>
    <n v="5.1706349206349207E-2"/>
    <s v="reparacion int 139"/>
    <x v="5"/>
    <x v="20"/>
    <x v="14"/>
    <m/>
  </r>
  <r>
    <x v="63"/>
    <n v="1830000"/>
    <n v="1750000"/>
    <n v="80000"/>
    <n v="4.5714285714285714E-2"/>
    <s v="reapracion int 228"/>
    <x v="5"/>
    <x v="20"/>
    <x v="14"/>
    <m/>
  </r>
  <r>
    <x v="30"/>
    <n v="618431"/>
    <n v="585882"/>
    <n v="32549"/>
    <n v="5.5555555555555552E-2"/>
    <s v="repuestos para compactador vial int 70"/>
    <x v="5"/>
    <x v="20"/>
    <x v="14"/>
    <m/>
  </r>
  <r>
    <x v="30"/>
    <n v="225302"/>
    <n v="213444"/>
    <n v="11858"/>
    <n v="5.5555555555555552E-2"/>
    <s v="repuestos para minicargadora int 176"/>
    <x v="5"/>
    <x v="20"/>
    <x v="14"/>
    <m/>
  </r>
  <r>
    <x v="30"/>
    <n v="248292"/>
    <n v="235224"/>
    <n v="13068"/>
    <n v="5.5555555555555552E-2"/>
    <s v="repuestos para ford 4000 int 119"/>
    <x v="5"/>
    <x v="20"/>
    <x v="14"/>
    <m/>
  </r>
  <r>
    <x v="20"/>
    <n v="517285"/>
    <n v="480345"/>
    <n v="36940"/>
    <n v="7.6903059259490578E-2"/>
    <s v="repuestos int 8"/>
    <x v="5"/>
    <x v="1"/>
    <x v="0"/>
    <m/>
  </r>
  <r>
    <x v="20"/>
    <n v="471295"/>
    <n v="446490"/>
    <n v="24805"/>
    <n v="5.5555555555555552E-2"/>
    <s v="repuestos int 213"/>
    <x v="5"/>
    <x v="1"/>
    <x v="0"/>
    <m/>
  </r>
  <r>
    <x v="64"/>
    <n v="48508640"/>
    <n v="46730222"/>
    <n v="1778418"/>
    <n v="3.8057127141403267E-2"/>
    <s v="amarok 0km"/>
    <x v="5"/>
    <x v="1"/>
    <x v="35"/>
    <m/>
  </r>
  <r>
    <x v="15"/>
    <n v="1276800"/>
    <n v="1200000"/>
    <n v="76800"/>
    <n v="6.4000000000000001E-2"/>
    <s v="gancho de tariler o carreton 3 Int 147-333-43"/>
    <x v="5"/>
    <x v="21"/>
    <x v="14"/>
    <m/>
  </r>
  <r>
    <x v="65"/>
    <n v="23990400"/>
    <n v="22740000"/>
    <n v="1250400"/>
    <n v="5.4986807387862796E-2"/>
    <s v="fumigacion palacio municipal"/>
    <x v="5"/>
    <x v="10"/>
    <x v="0"/>
    <m/>
  </r>
  <r>
    <x v="66"/>
    <n v="13970000"/>
    <n v="3800000"/>
    <n v="10170000"/>
    <n v="2.6763157894736844"/>
    <s v="reparación de letras de rotonda J.L Suarez y R.P.23"/>
    <x v="5"/>
    <x v="11"/>
    <x v="36"/>
    <m/>
  </r>
  <r>
    <x v="30"/>
    <n v="705090"/>
    <n v="667980"/>
    <n v="37110"/>
    <n v="5.5555555555555552E-2"/>
    <s v="repuestos para ford ranger 2,2 int 035"/>
    <x v="5"/>
    <x v="11"/>
    <x v="15"/>
    <m/>
  </r>
  <r>
    <x v="30"/>
    <n v="1471360"/>
    <n v="1393920"/>
    <n v="77440"/>
    <n v="5.5555555555555552E-2"/>
    <s v="repuestos para ford cargo 2631 int 136"/>
    <x v="5"/>
    <x v="11"/>
    <x v="15"/>
    <m/>
  </r>
  <r>
    <x v="30"/>
    <n v="2816878"/>
    <n v="2665996"/>
    <n v="150882"/>
    <n v="5.6594983638385055E-2"/>
    <s v="repuestos vw amarok int 139"/>
    <x v="5"/>
    <x v="11"/>
    <x v="15"/>
    <m/>
  </r>
  <r>
    <x v="30"/>
    <n v="101845"/>
    <n v="96486"/>
    <n v="5359"/>
    <n v="5.5541736625002593E-2"/>
    <s v="repuestos ve amarok 2,0 int 188"/>
    <x v="5"/>
    <x v="11"/>
    <x v="15"/>
    <m/>
  </r>
  <r>
    <x v="30"/>
    <n v="4831515"/>
    <n v="4563097"/>
    <n v="268418"/>
    <n v="5.8823645432038808E-2"/>
    <s v="Repuestos para ford transit "/>
    <x v="5"/>
    <x v="11"/>
    <x v="15"/>
    <m/>
  </r>
  <r>
    <x v="23"/>
    <n v="6526100"/>
    <n v="6349500"/>
    <n v="176600"/>
    <n v="2.7813213638869204E-2"/>
    <s v="Computadoras"/>
    <x v="5"/>
    <x v="22"/>
    <x v="37"/>
    <m/>
  </r>
  <r>
    <x v="23"/>
    <n v="6526100"/>
    <n v="6349500"/>
    <n v="176600"/>
    <n v="2.7813213638869204E-2"/>
    <s v="Computadoras"/>
    <x v="5"/>
    <x v="3"/>
    <x v="38"/>
    <m/>
  </r>
  <r>
    <x v="67"/>
    <n v="1495000"/>
    <n v="1405300"/>
    <n v="89700"/>
    <n v="6.3829787234042548E-2"/>
    <s v="REPARACION COMPRESOR DE AIRE INT 230"/>
    <x v="5"/>
    <x v="11"/>
    <x v="15"/>
    <m/>
  </r>
  <r>
    <x v="67"/>
    <n v="2265000"/>
    <n v="2129100"/>
    <n v="135900"/>
    <n v="6.3829787234042548E-2"/>
    <s v="Reparacion de mercedes benz Int 29"/>
    <x v="5"/>
    <x v="11"/>
    <x v="15"/>
    <m/>
  </r>
  <r>
    <x v="67"/>
    <n v="925700"/>
    <n v="870160"/>
    <n v="55540"/>
    <n v="6.3827342098004961E-2"/>
    <s v="Repuestos para Ford ranger 2,2 Int 342"/>
    <x v="5"/>
    <x v="11"/>
    <x v="15"/>
    <m/>
  </r>
  <r>
    <x v="67"/>
    <n v="2154750"/>
    <n v="2025440"/>
    <n v="129310"/>
    <n v="6.3842918081997005E-2"/>
    <s v="Repuestos para Amarok Int 90"/>
    <x v="5"/>
    <x v="11"/>
    <x v="15"/>
    <m/>
  </r>
  <r>
    <x v="67"/>
    <n v="2195700"/>
    <n v="2076230"/>
    <n v="119470"/>
    <n v="5.7541794502535847E-2"/>
    <s v="Repuestos para Vw Amarok Int 93"/>
    <x v="5"/>
    <x v="11"/>
    <x v="15"/>
    <m/>
  </r>
  <r>
    <x v="67"/>
    <n v="2185000"/>
    <n v="2053900"/>
    <n v="131100"/>
    <n v="6.3829787234042548E-2"/>
    <s v="Reparacion Ford ranger Int 181"/>
    <x v="5"/>
    <x v="11"/>
    <x v="15"/>
    <m/>
  </r>
  <r>
    <x v="68"/>
    <n v="6450000"/>
    <n v="6250000"/>
    <n v="200000"/>
    <n v="3.2000000000000001E-2"/>
    <s v="sonido mailin"/>
    <x v="5"/>
    <x v="11"/>
    <x v="39"/>
    <m/>
  </r>
  <r>
    <x v="68"/>
    <n v="6509095"/>
    <n v="6409095"/>
    <n v="100000"/>
    <n v="1.5602826920181398E-2"/>
    <s v="escenario mailin"/>
    <x v="5"/>
    <x v="11"/>
    <x v="39"/>
    <m/>
  </r>
  <r>
    <x v="67"/>
    <n v="1685000"/>
    <n v="1583900"/>
    <n v="101100"/>
    <n v="6.3829787234042548E-2"/>
    <s v="Reparacion Ford Cargo Int 1517"/>
    <x v="5"/>
    <x v="11"/>
    <x v="15"/>
    <m/>
  </r>
  <r>
    <x v="69"/>
    <n v="6180000"/>
    <n v="3090000"/>
    <n v="3090000"/>
    <n v="1"/>
    <s v="reparacion int 475"/>
    <x v="5"/>
    <x v="7"/>
    <x v="40"/>
    <m/>
  </r>
  <r>
    <x v="70"/>
    <n v="4600000"/>
    <n v="2622000"/>
    <n v="1978000"/>
    <n v="0.75438596491228072"/>
    <s v="botas de lluvia"/>
    <x v="5"/>
    <x v="23"/>
    <x v="0"/>
    <m/>
  </r>
  <r>
    <x v="67"/>
    <n v="2786000"/>
    <n v="2618840"/>
    <n v="167160"/>
    <n v="6.3829787234042548E-2"/>
    <s v="Reparacion Ford Cargo 1416 Int 65"/>
    <x v="5"/>
    <x v="11"/>
    <x v="15"/>
    <m/>
  </r>
  <r>
    <x v="71"/>
    <m/>
    <m/>
    <m/>
    <m/>
    <m/>
    <x v="1"/>
    <x v="3"/>
    <x v="0"/>
    <m/>
  </r>
  <r>
    <x v="72"/>
    <n v="3830978.29"/>
    <n v="3677739.16"/>
    <n v="153239.12999999989"/>
    <n v="4.1666666213489668E-2"/>
    <s v="capas y botas de lluvia "/>
    <x v="6"/>
    <x v="11"/>
    <x v="41"/>
    <n v="16747891.710000003"/>
  </r>
  <r>
    <x v="73"/>
    <n v="787500"/>
    <n v="750000"/>
    <n v="37500"/>
    <n v="0.05"/>
    <s v="Medallas "/>
    <x v="6"/>
    <x v="6"/>
    <x v="42"/>
    <m/>
  </r>
  <r>
    <x v="74"/>
    <n v="3249000"/>
    <n v="3150000"/>
    <n v="99000"/>
    <n v="3.1428571428571431E-2"/>
    <s v="Mapas 100cm x 120cm para colegios "/>
    <x v="6"/>
    <x v="6"/>
    <x v="43"/>
    <m/>
  </r>
  <r>
    <x v="75"/>
    <n v="1160167"/>
    <n v="1148394"/>
    <n v="11773"/>
    <n v="1.0251708037485393E-2"/>
    <s v="productos de limpieza"/>
    <x v="6"/>
    <x v="6"/>
    <x v="44"/>
    <m/>
  </r>
  <r>
    <x v="76"/>
    <n v="2770000"/>
    <n v="2440000"/>
    <n v="330000"/>
    <n v="0.13524590163934427"/>
    <s v="2 lavarropas con instalacion "/>
    <x v="6"/>
    <x v="3"/>
    <x v="45"/>
    <m/>
  </r>
  <r>
    <x v="77"/>
    <n v="6520310"/>
    <n v="6324700"/>
    <n v="195610"/>
    <n v="3.0927949151738424E-2"/>
    <s v="reparacion int 81"/>
    <x v="6"/>
    <x v="1"/>
    <x v="0"/>
    <m/>
  </r>
  <r>
    <x v="77"/>
    <n v="2521600"/>
    <n v="2445800"/>
    <n v="75800"/>
    <n v="3.0991904489328644E-2"/>
    <s v="reparacion int 175-176"/>
    <x v="6"/>
    <x v="1"/>
    <x v="0"/>
    <m/>
  </r>
  <r>
    <x v="11"/>
    <n v="2171096"/>
    <n v="2022368"/>
    <n v="148728"/>
    <n v="7.3541511732780576E-2"/>
    <s v="reparacion int 210"/>
    <x v="6"/>
    <x v="1"/>
    <x v="0"/>
    <m/>
  </r>
  <r>
    <x v="78"/>
    <n v="22385000"/>
    <n v="21500000"/>
    <n v="885000"/>
    <n v="4.1162790697674416E-2"/>
    <s v="Arcos de futbol "/>
    <x v="6"/>
    <x v="6"/>
    <x v="46"/>
    <m/>
  </r>
  <r>
    <x v="79"/>
    <n v="102220159"/>
    <n v="97109151.049999997"/>
    <n v="5111007.950000003"/>
    <n v="5.2631578947368453E-2"/>
    <s v="insumos deportivos poli sourdeaux"/>
    <x v="6"/>
    <x v="6"/>
    <x v="46"/>
    <m/>
  </r>
  <r>
    <x v="80"/>
    <n v="617625"/>
    <n v="586743.75"/>
    <n v="30881.25"/>
    <n v="5.2631578947368418E-2"/>
    <s v="Cartel para Obra Hidraulica "/>
    <x v="6"/>
    <x v="3"/>
    <x v="47"/>
    <m/>
  </r>
  <r>
    <x v="81"/>
    <n v="631250"/>
    <n v="533550"/>
    <n v="97700"/>
    <n v="0.18311311029894106"/>
    <s v="Materiales para readecuación de oficina Dirección de Redes"/>
    <x v="6"/>
    <x v="3"/>
    <x v="47"/>
    <m/>
  </r>
  <r>
    <x v="9"/>
    <n v="1228130"/>
    <n v="1205000"/>
    <n v="23130"/>
    <n v="1.9195020746887968E-2"/>
    <s v="lockers "/>
    <x v="6"/>
    <x v="3"/>
    <x v="48"/>
    <m/>
  </r>
  <r>
    <x v="53"/>
    <n v="450000"/>
    <n v="420000"/>
    <n v="30000"/>
    <n v="7.1428571428571425E-2"/>
    <s v="Pizarra "/>
    <x v="6"/>
    <x v="11"/>
    <x v="0"/>
    <m/>
  </r>
  <r>
    <x v="34"/>
    <n v="1379800"/>
    <n v="1241820"/>
    <n v="137980"/>
    <n v="0.1111111111111111"/>
    <s v="Neumaticos "/>
    <x v="6"/>
    <x v="12"/>
    <x v="0"/>
    <m/>
  </r>
  <r>
    <x v="82"/>
    <n v="539400"/>
    <n v="513000"/>
    <n v="26400"/>
    <n v="5.146198830409357E-2"/>
    <s v="mantenmiento de impresora Kyocera "/>
    <x v="6"/>
    <x v="6"/>
    <x v="46"/>
    <m/>
  </r>
  <r>
    <x v="30"/>
    <n v="2603000"/>
    <n v="2466000"/>
    <n v="137000"/>
    <n v="5.5555555555555552E-2"/>
    <s v="Repuestos para ve amarok 2,0 Int  93"/>
    <x v="6"/>
    <x v="3"/>
    <x v="15"/>
    <m/>
  </r>
  <r>
    <x v="83"/>
    <n v="711903.5"/>
    <n v="676308.32"/>
    <n v="35595.180000000051"/>
    <n v="5.2631586729555618E-2"/>
    <s v="Reparacion de elastico delantero. Iveco tector 150e21 "/>
    <x v="6"/>
    <x v="2"/>
    <x v="0"/>
    <m/>
  </r>
  <r>
    <x v="83"/>
    <n v="248171"/>
    <n v="235762.45"/>
    <n v="12408.549999999988"/>
    <n v="5.263157894736837E-2"/>
    <s v="Reparacion de elastico trasero Ford RANGER 2,2 iD 76898"/>
    <x v="6"/>
    <x v="3"/>
    <x v="10"/>
    <m/>
  </r>
  <r>
    <x v="83"/>
    <n v="248141"/>
    <n v="235765.45"/>
    <n v="12375.549999999988"/>
    <n v="5.2490939618167073E-2"/>
    <s v="Reparacion de elastico  Ford RANGER 2,2 iD 76901"/>
    <x v="6"/>
    <x v="3"/>
    <x v="10"/>
    <m/>
  </r>
  <r>
    <x v="83"/>
    <n v="248111"/>
    <n v="235768.45"/>
    <n v="12342.549999999988"/>
    <n v="5.235030386805354E-2"/>
    <s v="Reparacion de elastico Ford RANGER 2,2 iD 65394"/>
    <x v="6"/>
    <x v="3"/>
    <x v="10"/>
    <m/>
  </r>
  <r>
    <x v="83"/>
    <n v="248081"/>
    <n v="235771.45"/>
    <n v="12309.549999999988"/>
    <n v="5.2209671696891155E-2"/>
    <s v="Reparacion de elastico  Ford RANGER 2,2 iD 76897"/>
    <x v="6"/>
    <x v="3"/>
    <x v="10"/>
    <m/>
  </r>
  <r>
    <x v="83"/>
    <n v="882453"/>
    <n v="838330.35"/>
    <n v="44122.650000000023"/>
    <n v="5.2631578947368453E-2"/>
    <s v="Reparacion de elastico  Ford RANGER 2,2 iD 43631"/>
    <x v="6"/>
    <x v="3"/>
    <x v="10"/>
    <m/>
  </r>
  <r>
    <x v="20"/>
    <n v="594523"/>
    <n v="559034"/>
    <n v="35489"/>
    <n v="6.3482721981131737E-2"/>
    <s v="Reparancion de movil 302 aa271 id n°26512"/>
    <x v="6"/>
    <x v="4"/>
    <x v="0"/>
    <m/>
  </r>
  <r>
    <x v="30"/>
    <n v="3054137"/>
    <n v="2883454"/>
    <n v="170683"/>
    <n v="5.9193938935734713E-2"/>
    <s v="Reparacion de movil 303 aa 271 Id n°26513"/>
    <x v="6"/>
    <x v="8"/>
    <x v="0"/>
    <m/>
  </r>
  <r>
    <x v="38"/>
    <n v="2986000"/>
    <n v="2806840"/>
    <n v="179160"/>
    <n v="6.3829787234042548E-2"/>
    <s v="Reparacion de Ford cargo 1416 Int 46"/>
    <x v="6"/>
    <x v="11"/>
    <x v="15"/>
    <m/>
  </r>
  <r>
    <x v="38"/>
    <n v="4495000"/>
    <n v="4225300"/>
    <n v="269700"/>
    <n v="6.3829787234042548E-2"/>
    <s v="Reparacion de bomba alta presion Ford Ranger Int 180"/>
    <x v="6"/>
    <x v="11"/>
    <x v="15"/>
    <m/>
  </r>
  <r>
    <x v="25"/>
    <n v="2570000"/>
    <n v="2450000"/>
    <n v="120000"/>
    <n v="4.8979591836734691E-2"/>
    <s v="reparacion int 46 y 65"/>
    <x v="6"/>
    <x v="11"/>
    <x v="15"/>
    <m/>
  </r>
  <r>
    <x v="25"/>
    <n v="3690200"/>
    <n v="3520000"/>
    <n v="170200"/>
    <n v="4.835227272727273E-2"/>
    <s v="reparacion int 55"/>
    <x v="6"/>
    <x v="11"/>
    <x v="15"/>
    <m/>
  </r>
  <r>
    <x v="25"/>
    <n v="3620500"/>
    <n v="3500000"/>
    <n v="120500"/>
    <n v="3.4428571428571426E-2"/>
    <s v="reparacion int 50"/>
    <x v="6"/>
    <x v="11"/>
    <x v="15"/>
    <m/>
  </r>
  <r>
    <x v="25"/>
    <n v="842400"/>
    <n v="785000"/>
    <n v="57400"/>
    <n v="7.3121019108280255E-2"/>
    <s v="reparacion int 329 y repuesto int 149, 175 y 176"/>
    <x v="6"/>
    <x v="11"/>
    <x v="15"/>
    <m/>
  </r>
  <r>
    <x v="30"/>
    <n v="723010"/>
    <n v="684957"/>
    <n v="38053"/>
    <n v="5.5555312231278749E-2"/>
    <s v="Repuestos para ford cargo 1517e int 229"/>
    <x v="6"/>
    <x v="11"/>
    <x v="15"/>
    <m/>
  </r>
  <r>
    <x v="30"/>
    <n v="129799"/>
    <n v="122948"/>
    <n v="6851"/>
    <n v="5.5722744574942251E-2"/>
    <s v="cerradura de porton trasero para Renault Kangoo "/>
    <x v="6"/>
    <x v="11"/>
    <x v="15"/>
    <m/>
  </r>
  <r>
    <x v="83"/>
    <n v="378367"/>
    <n v="359448.65"/>
    <n v="18918.349999999977"/>
    <n v="5.2631578947368356E-2"/>
    <s v="Reparaciones de elasticos Ford Ranger 2,2 id 76894"/>
    <x v="6"/>
    <x v="3"/>
    <x v="10"/>
    <m/>
  </r>
  <r>
    <x v="30"/>
    <n v="2238500"/>
    <n v="2117500"/>
    <n v="121000"/>
    <n v="5.7142857142857141E-2"/>
    <s v="Reparacion para Int 29 Sprinter Mercedes "/>
    <x v="6"/>
    <x v="11"/>
    <x v="15"/>
    <m/>
  </r>
  <r>
    <x v="30"/>
    <n v="2094586"/>
    <n v="1938610"/>
    <n v="155976"/>
    <n v="8.0457647489696221E-2"/>
    <s v="Repuestos para Int 90 Amarok "/>
    <x v="6"/>
    <x v="11"/>
    <x v="15"/>
    <m/>
  </r>
  <r>
    <x v="38"/>
    <n v="2986000"/>
    <n v="2806840"/>
    <n v="179160"/>
    <n v="6.3829787234042548E-2"/>
    <s v="Reparacion para Int 46 Ford Cargo 1416"/>
    <x v="6"/>
    <x v="11"/>
    <x v="15"/>
    <m/>
  </r>
  <r>
    <x v="84"/>
    <n v="863000"/>
    <n v="820000"/>
    <n v="43000"/>
    <n v="5.24390243902439E-2"/>
    <s v="Insumos de ferreteria "/>
    <x v="6"/>
    <x v="3"/>
    <x v="49"/>
    <m/>
  </r>
  <r>
    <x v="22"/>
    <n v="11200000"/>
    <n v="7140000"/>
    <n v="4060000"/>
    <n v="0.56862745098039214"/>
    <s v="Camas superpuestas "/>
    <x v="6"/>
    <x v="3"/>
    <x v="0"/>
    <m/>
  </r>
  <r>
    <x v="85"/>
    <n v="715000"/>
    <n v="664950"/>
    <n v="50050"/>
    <n v="7.5268817204301078E-2"/>
    <s v="Neumaticos "/>
    <x v="6"/>
    <x v="3"/>
    <x v="50"/>
    <m/>
  </r>
  <r>
    <x v="30"/>
    <n v="2603000"/>
    <n v="2466000"/>
    <n v="137000"/>
    <n v="5.5555555555555552E-2"/>
    <s v="Repuestos para int 96"/>
    <x v="6"/>
    <x v="11"/>
    <x v="15"/>
    <m/>
  </r>
  <r>
    <x v="30"/>
    <n v="439148"/>
    <n v="416034"/>
    <n v="23114"/>
    <n v="5.555795920525726E-2"/>
    <s v="Repuestos para int 120-215-217"/>
    <x v="6"/>
    <x v="11"/>
    <x v="15"/>
    <m/>
  </r>
  <r>
    <x v="30"/>
    <n v="1118207"/>
    <n v="1059355"/>
    <n v="58852"/>
    <n v="5.55545591421195E-2"/>
    <s v="Repuestos para int 15-69-390"/>
    <x v="6"/>
    <x v="11"/>
    <x v="15"/>
    <m/>
  </r>
  <r>
    <x v="30"/>
    <n v="13152000"/>
    <n v="12362900"/>
    <n v="789100"/>
    <n v="6.382806623041519E-2"/>
    <s v="reparacion motor bobcat int 175"/>
    <x v="6"/>
    <x v="11"/>
    <x v="15"/>
    <m/>
  </r>
  <r>
    <x v="20"/>
    <n v="638959"/>
    <n v="605329"/>
    <n v="33630"/>
    <n v="5.5556565107569601E-2"/>
    <s v="repuestos para int 216 ford 4000"/>
    <x v="6"/>
    <x v="11"/>
    <x v="15"/>
    <m/>
  </r>
  <r>
    <x v="20"/>
    <n v="644454"/>
    <n v="610534"/>
    <n v="33920"/>
    <n v="5.5557921426161359E-2"/>
    <s v="repuestos para int 212 Ford 4000"/>
    <x v="6"/>
    <x v="11"/>
    <x v="15"/>
    <m/>
  </r>
  <r>
    <x v="30"/>
    <n v="514521"/>
    <n v="487441"/>
    <n v="27080"/>
    <n v="5.5555441581647831E-2"/>
    <s v="repuestos para int 131 Mercedes benz l1620"/>
    <x v="6"/>
    <x v="11"/>
    <x v="15"/>
    <m/>
  </r>
  <r>
    <x v="38"/>
    <n v="1750240"/>
    <n v="1645240"/>
    <n v="105000"/>
    <n v="6.3820476039969848E-2"/>
    <s v="Reaparaciones int 212 Ford 4000"/>
    <x v="6"/>
    <x v="11"/>
    <x v="15"/>
    <m/>
  </r>
  <r>
    <x v="20"/>
    <n v="746255"/>
    <n v="706979"/>
    <n v="39276"/>
    <n v="5.5554691157728875E-2"/>
    <s v="Repuestos Int 338 Iveco daily "/>
    <x v="6"/>
    <x v="11"/>
    <x v="15"/>
    <m/>
  </r>
  <r>
    <x v="20"/>
    <n v="289674"/>
    <n v="274428"/>
    <n v="15246"/>
    <n v="5.5555555555555552E-2"/>
    <s v="Repuestos int 55 Cargador frontal caterpillar 938k "/>
    <x v="6"/>
    <x v="11"/>
    <x v="15"/>
    <m/>
  </r>
  <r>
    <x v="38"/>
    <n v="12849000"/>
    <n v="12078000"/>
    <n v="771000"/>
    <n v="6.3835072031793338E-2"/>
    <s v="Reparación del vehículo  INT.219 Ford 4000"/>
    <x v="6"/>
    <x v="11"/>
    <x v="15"/>
    <m/>
  </r>
  <r>
    <x v="62"/>
    <n v="1875680"/>
    <n v="1795850"/>
    <n v="79830"/>
    <n v="4.4452487679928723E-2"/>
    <s v="Reparaciones para INT. 79 Motoniveladora galion 831"/>
    <x v="6"/>
    <x v="11"/>
    <x v="15"/>
    <m/>
  </r>
  <r>
    <x v="56"/>
    <n v="1270000"/>
    <n v="1150000"/>
    <n v="120000"/>
    <n v="0.10434782608695652"/>
    <s v="Reparación del vehículo INT.228, Ford Cargo 1517"/>
    <x v="6"/>
    <x v="11"/>
    <x v="15"/>
    <m/>
  </r>
  <r>
    <x v="56"/>
    <n v="2366700"/>
    <n v="2150000"/>
    <n v="216700"/>
    <n v="0.1007906976744186"/>
    <s v="Reparaciónes los Hidroelevadores de los INT.13 Y 234"/>
    <x v="6"/>
    <x v="11"/>
    <x v="15"/>
    <m/>
  </r>
  <r>
    <x v="56"/>
    <n v="1892100"/>
    <n v="1720000"/>
    <n v="172100"/>
    <n v="0.10005813953488372"/>
    <s v="Reparación de las Minicargadoras Bobcat  INT.176  e INT.149"/>
    <x v="6"/>
    <x v="11"/>
    <x v="15"/>
    <m/>
  </r>
  <r>
    <x v="56"/>
    <n v="1670000"/>
    <n v="1500000"/>
    <n v="170000"/>
    <n v="0.11333333333333333"/>
    <s v="Reparación  del vehículo INT.80, Motoniveladora Galion 830 Serie B"/>
    <x v="6"/>
    <x v="11"/>
    <x v="15"/>
    <m/>
  </r>
  <r>
    <x v="56"/>
    <n v="5700000"/>
    <n v="5200000"/>
    <n v="500000"/>
    <n v="9.6153846153846159E-2"/>
    <s v="Reparación  INT.225 e INT.226 , Ford Cargo 1517"/>
    <x v="6"/>
    <x v="11"/>
    <x v="15"/>
    <m/>
  </r>
  <r>
    <x v="86"/>
    <m/>
    <m/>
    <m/>
    <m/>
    <m/>
    <x v="1"/>
    <x v="3"/>
    <x v="0"/>
    <m/>
  </r>
  <r>
    <x v="87"/>
    <n v="7646466.7599999998"/>
    <n v="7162464.71"/>
    <n v="484002.04999999981"/>
    <n v="6.7574790186994138E-2"/>
    <s v="Juegos infantiles para exterior "/>
    <x v="7"/>
    <x v="3"/>
    <x v="51"/>
    <n v="12815281.540000003"/>
  </r>
  <r>
    <x v="88"/>
    <n v="528746"/>
    <n v="496826"/>
    <n v="31920"/>
    <n v="6.4247845322104716E-2"/>
    <s v="Repuestos para minicargadora bobcat s2220 Int 175"/>
    <x v="7"/>
    <x v="19"/>
    <x v="15"/>
    <m/>
  </r>
  <r>
    <x v="88"/>
    <n v="157510"/>
    <n v="149220"/>
    <n v="8290"/>
    <n v="5.5555555555555552E-2"/>
    <s v="Repuestos para Peugeot Partner Int 157"/>
    <x v="7"/>
    <x v="19"/>
    <x v="15"/>
    <m/>
  </r>
  <r>
    <x v="88"/>
    <n v="650738"/>
    <n v="610203"/>
    <n v="40535"/>
    <n v="6.6428713067618481E-2"/>
    <s v="Repuestos para cargadora frontal caterpillar 930-s Int 4"/>
    <x v="7"/>
    <x v="19"/>
    <x v="15"/>
    <m/>
  </r>
  <r>
    <x v="38"/>
    <n v="1027865"/>
    <n v="966220"/>
    <n v="61645"/>
    <n v="6.3800169733601045E-2"/>
    <s v="Repuestos Peugeot partner Int 157"/>
    <x v="7"/>
    <x v="19"/>
    <x v="15"/>
    <m/>
  </r>
  <r>
    <x v="88"/>
    <n v="2205287"/>
    <n v="2089220"/>
    <n v="116067"/>
    <n v="5.5555183274140586E-2"/>
    <s v="Repuestos para Ford -100 Int 100"/>
    <x v="7"/>
    <x v="19"/>
    <x v="15"/>
    <m/>
  </r>
  <r>
    <x v="88"/>
    <n v="1660272"/>
    <n v="1543802"/>
    <n v="116470"/>
    <n v="7.5443612587624581E-2"/>
    <s v="Reparaciones Ford cargo 915 Int 126"/>
    <x v="7"/>
    <x v="19"/>
    <x v="15"/>
    <m/>
  </r>
  <r>
    <x v="88"/>
    <n v="1963895"/>
    <n v="1000000"/>
    <n v="963895"/>
    <n v="0.96389499999999995"/>
    <s v="Reparacion vw voyage 1,6 Int 318"/>
    <x v="7"/>
    <x v="3"/>
    <x v="10"/>
    <m/>
  </r>
  <r>
    <x v="88"/>
    <n v="447940"/>
    <n v="424364"/>
    <n v="23576"/>
    <n v="5.5556079215013529E-2"/>
    <s v="Repuestos Ford 4000 int 115 y 118"/>
    <x v="7"/>
    <x v="19"/>
    <x v="15"/>
    <m/>
  </r>
  <r>
    <x v="88"/>
    <n v="503251"/>
    <n v="476764"/>
    <n v="26487"/>
    <n v="5.5555788608200284E-2"/>
    <s v="Repuestos ford cargo 2631 Int 137"/>
    <x v="7"/>
    <x v="19"/>
    <x v="0"/>
    <m/>
  </r>
  <r>
    <x v="88"/>
    <n v="301169"/>
    <n v="285318"/>
    <n v="15851"/>
    <n v="5.5555555555555552E-2"/>
    <s v="Repuestos Ford cargo 1517 Int 201"/>
    <x v="7"/>
    <x v="19"/>
    <x v="0"/>
    <m/>
  </r>
  <r>
    <x v="88"/>
    <n v="637255"/>
    <n v="610903"/>
    <n v="26352"/>
    <n v="4.3136144363344099E-2"/>
    <s v="Repuestos Ford cargo 1416 Int 65"/>
    <x v="7"/>
    <x v="19"/>
    <x v="0"/>
    <m/>
  </r>
  <r>
    <x v="88"/>
    <n v="436810"/>
    <n v="413820"/>
    <n v="22990"/>
    <n v="5.5555555555555552E-2"/>
    <s v="Repuestos Ford Cargo 2631 Int 136"/>
    <x v="7"/>
    <x v="19"/>
    <x v="0"/>
    <m/>
  </r>
  <r>
    <x v="88"/>
    <n v="556600"/>
    <n v="524656"/>
    <n v="31944"/>
    <n v="6.0885608856088562E-2"/>
    <s v="Repuestos Ford 4000 Int 217 y 118"/>
    <x v="7"/>
    <x v="19"/>
    <x v="0"/>
    <m/>
  </r>
  <r>
    <x v="62"/>
    <n v="1875680"/>
    <n v="1795850"/>
    <n v="79830"/>
    <n v="4.4452487679928723E-2"/>
    <s v="Reparaciones motoniveladora 830 Int 52"/>
    <x v="7"/>
    <x v="19"/>
    <x v="0"/>
    <m/>
  </r>
  <r>
    <x v="11"/>
    <n v="313814"/>
    <n v="297297"/>
    <n v="16517"/>
    <n v="5.5557237375419191E-2"/>
    <s v="repuestos int 120"/>
    <x v="7"/>
    <x v="19"/>
    <x v="0"/>
    <m/>
  </r>
  <r>
    <x v="11"/>
    <n v="3056727"/>
    <n v="2800184"/>
    <n v="256543"/>
    <n v="9.1616479488490762E-2"/>
    <s v="repuestos int 94"/>
    <x v="7"/>
    <x v="19"/>
    <x v="0"/>
    <m/>
  </r>
  <r>
    <x v="11"/>
    <n v="1193853"/>
    <n v="1131018"/>
    <n v="62835"/>
    <n v="5.5556144995039865E-2"/>
    <s v="respuestos int 212"/>
    <x v="7"/>
    <x v="19"/>
    <x v="0"/>
    <m/>
  </r>
  <r>
    <x v="11"/>
    <n v="613144"/>
    <n v="580873"/>
    <n v="32271"/>
    <n v="5.5556033762974008E-2"/>
    <s v="repuestos int 218 - 111"/>
    <x v="7"/>
    <x v="19"/>
    <x v="0"/>
    <m/>
  </r>
  <r>
    <x v="89"/>
    <n v="8000000"/>
    <n v="7100000"/>
    <n v="900000"/>
    <n v="0.12676056338028169"/>
    <s v="Contratacion de jurados "/>
    <x v="7"/>
    <x v="3"/>
    <x v="52"/>
    <m/>
  </r>
  <r>
    <x v="38"/>
    <n v="4495000"/>
    <n v="4225300"/>
    <n v="269700"/>
    <n v="6.3829787234042548E-2"/>
    <s v="Reparaciones Ford ranger Int 348"/>
    <x v="7"/>
    <x v="19"/>
    <x v="15"/>
    <m/>
  </r>
  <r>
    <x v="56"/>
    <n v="2749000"/>
    <n v="2620000"/>
    <n v="129000"/>
    <n v="4.9236641221374049E-2"/>
    <s v="Reparaciones motohormigonera int 137-387"/>
    <x v="7"/>
    <x v="19"/>
    <x v="15"/>
    <m/>
  </r>
  <r>
    <x v="30"/>
    <n v="549670"/>
    <n v="524815"/>
    <n v="24855"/>
    <n v="4.7359545744690985E-2"/>
    <s v="Reparacion renault kangoo Int 378"/>
    <x v="7"/>
    <x v="19"/>
    <x v="15"/>
    <m/>
  </r>
  <r>
    <x v="56"/>
    <n v="1100000"/>
    <n v="1030000"/>
    <n v="70000"/>
    <n v="6.7961165048543687E-2"/>
    <s v="Reparaciones Hidro elevador Int 15"/>
    <x v="7"/>
    <x v="19"/>
    <x v="15"/>
    <m/>
  </r>
  <r>
    <x v="56"/>
    <n v="996000"/>
    <n v="910000"/>
    <n v="86000"/>
    <n v="9.4505494505494503E-2"/>
    <s v="Reparacion de motor electrico de 10hp "/>
    <x v="7"/>
    <x v="19"/>
    <x v="15"/>
    <m/>
  </r>
  <r>
    <x v="23"/>
    <n v="6464700"/>
    <n v="5815300"/>
    <n v="649400"/>
    <n v="0.11167093701098825"/>
    <s v="Lentes de camaras "/>
    <x v="7"/>
    <x v="3"/>
    <x v="53"/>
    <m/>
  </r>
  <r>
    <x v="56"/>
    <n v="1830000"/>
    <n v="1740000"/>
    <n v="90000"/>
    <n v="5.1724137931034482E-2"/>
    <s v="Reparacion de camion ford 4000 Int 219"/>
    <x v="7"/>
    <x v="19"/>
    <x v="15"/>
    <m/>
  </r>
  <r>
    <x v="38"/>
    <n v="2989000"/>
    <n v="2809660"/>
    <n v="179340"/>
    <n v="6.3829787234042548E-2"/>
    <s v="Reparacion de bomba inyectora ford cargo Int 35"/>
    <x v="7"/>
    <x v="19"/>
    <x v="15"/>
    <m/>
  </r>
  <r>
    <x v="56"/>
    <n v="836000"/>
    <n v="780000"/>
    <n v="56000"/>
    <n v="7.179487179487179E-2"/>
    <s v="Reparacion en camion mixer de hormigon int 136-137"/>
    <x v="7"/>
    <x v="19"/>
    <x v="15"/>
    <m/>
  </r>
  <r>
    <x v="58"/>
    <n v="6117100"/>
    <n v="5810600"/>
    <n v="306500"/>
    <n v="5.2748425291708256E-2"/>
    <s v="Martillo percutor "/>
    <x v="7"/>
    <x v="3"/>
    <x v="0"/>
    <m/>
  </r>
  <r>
    <x v="90"/>
    <n v="5324000"/>
    <n v="4844000"/>
    <n v="480000"/>
    <n v="9.9091659785301406E-2"/>
    <s v="Macetas "/>
    <x v="7"/>
    <x v="3"/>
    <x v="54"/>
    <m/>
  </r>
  <r>
    <x v="8"/>
    <n v="3200000"/>
    <n v="2500000"/>
    <n v="700000"/>
    <n v="0.28000000000000003"/>
    <s v="Procesadora de alimentos "/>
    <x v="7"/>
    <x v="3"/>
    <x v="48"/>
    <m/>
  </r>
  <r>
    <x v="91"/>
    <n v="1950000"/>
    <n v="1755000"/>
    <n v="195000"/>
    <n v="0.1111111111111111"/>
    <s v="Ploteo vehicular para 466 "/>
    <x v="7"/>
    <x v="3"/>
    <x v="0"/>
    <m/>
  </r>
  <r>
    <x v="30"/>
    <n v="462000"/>
    <n v="420000"/>
    <n v="42000"/>
    <n v="0.1"/>
    <s v="Repuestos para el vehiculo Ford cargo 1416 Int 66"/>
    <x v="7"/>
    <x v="3"/>
    <x v="0"/>
    <m/>
  </r>
  <r>
    <x v="30"/>
    <n v="577160"/>
    <n v="546782"/>
    <n v="30378"/>
    <n v="5.5557790856319338E-2"/>
    <s v="Reparaciones para vehiculo Ford 14000 Int 123"/>
    <x v="7"/>
    <x v="3"/>
    <x v="0"/>
    <m/>
  </r>
  <r>
    <x v="92"/>
    <n v="8005000"/>
    <n v="7055000"/>
    <n v="950000"/>
    <n v="0.13465627214741319"/>
    <s v="Insumos fotograficos "/>
    <x v="7"/>
    <x v="1"/>
    <x v="55"/>
    <m/>
  </r>
  <r>
    <x v="30"/>
    <n v="1736495"/>
    <n v="1645060"/>
    <n v="91435"/>
    <n v="5.5581559335221818E-2"/>
    <s v="Insumos para flota municipal "/>
    <x v="7"/>
    <x v="11"/>
    <x v="15"/>
    <m/>
  </r>
  <r>
    <x v="12"/>
    <n v="3744983"/>
    <n v="3557734"/>
    <n v="187249"/>
    <n v="5.2631534566665188E-2"/>
    <s v="Equipo de aire acondicionado "/>
    <x v="7"/>
    <x v="3"/>
    <x v="0"/>
    <m/>
  </r>
  <r>
    <x v="15"/>
    <n v="1455600"/>
    <n v="1370000"/>
    <n v="85600"/>
    <n v="6.2481751824817515E-2"/>
    <s v="Reparaciones para el vehiculo Peugeot partner int 157"/>
    <x v="7"/>
    <x v="11"/>
    <x v="15"/>
    <m/>
  </r>
  <r>
    <x v="30"/>
    <n v="103455"/>
    <n v="98010"/>
    <n v="5445"/>
    <n v="5.5555555555555552E-2"/>
    <s v="Repuestos para un alutoelevador nissan int 205"/>
    <x v="7"/>
    <x v="11"/>
    <x v="15"/>
    <m/>
  </r>
  <r>
    <x v="20"/>
    <n v="324159"/>
    <n v="307098"/>
    <n v="17061"/>
    <n v="5.5555555555555552E-2"/>
    <s v="Repuestos para ford cargo 1517 Int 228"/>
    <x v="7"/>
    <x v="19"/>
    <x v="14"/>
    <m/>
  </r>
  <r>
    <x v="30"/>
    <n v="262086"/>
    <n v="248292"/>
    <n v="13794"/>
    <n v="5.5555555555555552E-2"/>
    <s v="Repuestos para Iveco Daily Int 388"/>
    <x v="7"/>
    <x v="11"/>
    <x v="15"/>
    <m/>
  </r>
  <r>
    <x v="20"/>
    <n v="486000"/>
    <n v="461700"/>
    <n v="24300"/>
    <n v="5.2631578947368418E-2"/>
    <s v="Repuestos Volksagen Amarok Int 90"/>
    <x v="7"/>
    <x v="19"/>
    <x v="14"/>
    <m/>
  </r>
  <r>
    <x v="30"/>
    <n v="781400"/>
    <n v="680590"/>
    <n v="100810"/>
    <n v="0.14812148283107304"/>
    <s v="Repuestos para los int 387-79-55"/>
    <x v="7"/>
    <x v="11"/>
    <x v="15"/>
    <m/>
  </r>
  <r>
    <x v="65"/>
    <n v="4080000"/>
    <n v="3740000"/>
    <n v="340000"/>
    <n v="9.0909090909090912E-2"/>
    <s v="Servicio de fumigacion "/>
    <x v="7"/>
    <x v="11"/>
    <x v="15"/>
    <m/>
  </r>
  <r>
    <x v="30"/>
    <n v="700046"/>
    <n v="663201"/>
    <n v="36845"/>
    <n v="5.555630947480477E-2"/>
    <m/>
    <x v="7"/>
    <x v="4"/>
    <x v="0"/>
    <m/>
  </r>
  <r>
    <x v="19"/>
    <n v="2044152"/>
    <n v="1839736.8"/>
    <n v="204415.19999999995"/>
    <n v="0.11111111111111108"/>
    <m/>
    <x v="7"/>
    <x v="4"/>
    <x v="0"/>
    <m/>
  </r>
  <r>
    <x v="19"/>
    <n v="3177675"/>
    <n v="2859907.5"/>
    <n v="317767.5"/>
    <n v="0.1111111111111111"/>
    <m/>
    <x v="7"/>
    <x v="4"/>
    <x v="0"/>
    <m/>
  </r>
  <r>
    <x v="19"/>
    <n v="1290000"/>
    <n v="1161000"/>
    <n v="129000"/>
    <n v="0.1111111111111111"/>
    <m/>
    <x v="7"/>
    <x v="4"/>
    <x v="0"/>
    <m/>
  </r>
  <r>
    <x v="19"/>
    <n v="605937.30000000005"/>
    <n v="545343.56999999995"/>
    <n v="60593.730000000098"/>
    <n v="0.1111111111111113"/>
    <m/>
    <x v="7"/>
    <x v="4"/>
    <x v="0"/>
    <m/>
  </r>
  <r>
    <x v="19"/>
    <n v="675826.5"/>
    <n v="608243.85"/>
    <n v="67582.650000000023"/>
    <n v="0.11111111111111116"/>
    <m/>
    <x v="7"/>
    <x v="4"/>
    <x v="0"/>
    <m/>
  </r>
  <r>
    <x v="19"/>
    <n v="323314.15999999997"/>
    <n v="290982.75"/>
    <n v="32331.409999999974"/>
    <n v="0.11111108820024546"/>
    <m/>
    <x v="7"/>
    <x v="4"/>
    <x v="0"/>
    <m/>
  </r>
  <r>
    <x v="19"/>
    <n v="3179546"/>
    <n v="2828429.1"/>
    <n v="351116.89999999991"/>
    <n v="0.12413848379653565"/>
    <m/>
    <x v="7"/>
    <x v="4"/>
    <x v="0"/>
    <m/>
  </r>
  <r>
    <x v="19"/>
    <n v="344990"/>
    <n v="276944.40000000002"/>
    <n v="68045.599999999977"/>
    <n v="0.24570130322187403"/>
    <m/>
    <x v="7"/>
    <x v="4"/>
    <x v="0"/>
    <m/>
  </r>
  <r>
    <x v="19"/>
    <n v="682104"/>
    <n v="506685.6"/>
    <n v="175418.40000000002"/>
    <n v="0.34620758908482901"/>
    <m/>
    <x v="7"/>
    <x v="4"/>
    <x v="0"/>
    <m/>
  </r>
  <r>
    <x v="19"/>
    <n v="1959583"/>
    <n v="1751312.7"/>
    <n v="208270.30000000005"/>
    <n v="0.11892239461290953"/>
    <m/>
    <x v="7"/>
    <x v="4"/>
    <x v="0"/>
    <m/>
  </r>
  <r>
    <x v="17"/>
    <n v="31969900"/>
    <n v="29732007"/>
    <n v="2237893"/>
    <n v="7.5268817204301078E-2"/>
    <s v="mant anual de roof top"/>
    <x v="7"/>
    <x v="24"/>
    <x v="0"/>
    <m/>
  </r>
  <r>
    <x v="19"/>
    <n v="4841148"/>
    <n v="4357033.2"/>
    <n v="484114.79999999981"/>
    <n v="0.11111111111111106"/>
    <s v="provision e instalacion"/>
    <x v="7"/>
    <x v="4"/>
    <x v="56"/>
    <m/>
  </r>
  <r>
    <x v="93"/>
    <m/>
    <m/>
    <m/>
    <m/>
    <m/>
    <x v="1"/>
    <x v="3"/>
    <x v="0"/>
    <m/>
  </r>
  <r>
    <x v="30"/>
    <n v="488392"/>
    <n v="464095"/>
    <n v="24297"/>
    <n v="5.2353505209062796E-2"/>
    <s v="Repuestos para chipeadora de ramas "/>
    <x v="8"/>
    <x v="11"/>
    <x v="15"/>
    <n v="6228691.2000000002"/>
  </r>
  <r>
    <x v="30"/>
    <n v="628547"/>
    <n v="595465"/>
    <n v="33082"/>
    <n v="5.5556581831006022E-2"/>
    <s v="Repuestos para ford 4000 int 220-214"/>
    <x v="8"/>
    <x v="11"/>
    <x v="0"/>
    <m/>
  </r>
  <r>
    <x v="38"/>
    <n v="3620500"/>
    <n v="3403270"/>
    <n v="217230"/>
    <n v="6.3829787234042548E-2"/>
    <s v="Reparaciones en volkswagen amarok int 92"/>
    <x v="8"/>
    <x v="11"/>
    <x v="15"/>
    <m/>
  </r>
  <r>
    <x v="38"/>
    <n v="2430000"/>
    <n v="2284200"/>
    <n v="145800"/>
    <n v="6.3829787234042548E-2"/>
    <s v="Reparaciones en ford 4000 int 215"/>
    <x v="8"/>
    <x v="11"/>
    <x v="15"/>
    <m/>
  </r>
  <r>
    <x v="21"/>
    <n v="2830000"/>
    <n v="2550000"/>
    <n v="280000"/>
    <n v="0.10980392156862745"/>
    <s v="Reparaciones en camiones mixer Int 7-136-137"/>
    <x v="8"/>
    <x v="11"/>
    <x v="15"/>
    <m/>
  </r>
  <r>
    <x v="21"/>
    <n v="11900000"/>
    <n v="11200000"/>
    <n v="700000"/>
    <n v="6.25E-2"/>
    <s v="Reparaciones Ford cargo 1416, Int 37"/>
    <x v="8"/>
    <x v="11"/>
    <x v="15"/>
    <m/>
  </r>
  <r>
    <x v="21"/>
    <n v="13800000"/>
    <n v="13000000"/>
    <n v="800000"/>
    <n v="6.1538461538461542E-2"/>
    <s v="Reparaciones camion Ford cargo Int 65"/>
    <x v="8"/>
    <x v="11"/>
    <x v="15"/>
    <m/>
  </r>
  <r>
    <x v="21"/>
    <n v="8050000"/>
    <n v="7600000"/>
    <n v="450000"/>
    <n v="5.921052631578947E-2"/>
    <s v="Reparaciones Camoin mercedes benz int 130"/>
    <x v="8"/>
    <x v="11"/>
    <x v="15"/>
    <m/>
  </r>
  <r>
    <x v="21"/>
    <n v="3010000"/>
    <n v="2740000"/>
    <n v="270000"/>
    <n v="9.8540145985401464E-2"/>
    <s v="Reparaciones varias para los int 38-68-180"/>
    <x v="8"/>
    <x v="11"/>
    <x v="15"/>
    <m/>
  </r>
  <r>
    <x v="21"/>
    <n v="6560000"/>
    <n v="6030000"/>
    <n v="530000"/>
    <n v="8.7893864013267001E-2"/>
    <s v="Reparaciones varias para los int 379-228-225-198-94-66-127"/>
    <x v="8"/>
    <x v="11"/>
    <x v="15"/>
    <m/>
  </r>
  <r>
    <x v="94"/>
    <n v="8297862.9000000004"/>
    <n v="7009849.7000000002"/>
    <n v="1288013.2000000002"/>
    <n v="0.18374334045992458"/>
    <s v="Insumos para curso de modista "/>
    <x v="8"/>
    <x v="7"/>
    <x v="17"/>
    <m/>
  </r>
  <r>
    <x v="95"/>
    <n v="2659000"/>
    <n v="2526050"/>
    <n v="132950"/>
    <n v="5.2631578947368418E-2"/>
    <s v="Reparacion en grupo electrogeno "/>
    <x v="8"/>
    <x v="4"/>
    <x v="0"/>
    <m/>
  </r>
  <r>
    <x v="59"/>
    <n v="5819550"/>
    <n v="4999200"/>
    <n v="820350"/>
    <n v="0.16409625540086414"/>
    <s v="Insumos para el curso de auto motor "/>
    <x v="8"/>
    <x v="7"/>
    <x v="52"/>
    <m/>
  </r>
  <r>
    <x v="23"/>
    <n v="7419590"/>
    <n v="7139590"/>
    <n v="280000"/>
    <n v="3.9217938284971547E-2"/>
    <s v="Mobiliario "/>
    <x v="8"/>
    <x v="7"/>
    <x v="57"/>
    <m/>
  </r>
  <r>
    <x v="30"/>
    <n v="3193647"/>
    <n v="3063758"/>
    <n v="129889"/>
    <n v="4.2395319734783228E-2"/>
    <s v="Repuestos p/Int. 123-124-182-180-130-131-110"/>
    <x v="8"/>
    <x v="11"/>
    <x v="15"/>
    <m/>
  </r>
  <r>
    <x v="96"/>
    <n v="3176740"/>
    <n v="3113200"/>
    <n v="63540"/>
    <n v="2.0409867660285238E-2"/>
    <s v="Reparaciones p/Int. 81"/>
    <x v="8"/>
    <x v="11"/>
    <x v="15"/>
    <m/>
  </r>
  <r>
    <x v="96"/>
    <n v="3176740"/>
    <n v="3113200"/>
    <n v="63540"/>
    <n v="2.0409867660285238E-2"/>
    <s v="Repuestos p/Int. 80"/>
    <x v="8"/>
    <x v="11"/>
    <x v="15"/>
    <m/>
  </r>
  <r>
    <x v="97"/>
    <m/>
    <m/>
    <m/>
    <m/>
    <m/>
    <x v="1"/>
    <x v="3"/>
    <x v="0"/>
    <m/>
  </r>
  <r>
    <x v="21"/>
    <n v="4971000"/>
    <n v="4745000"/>
    <n v="226000"/>
    <n v="4.7629083245521599E-2"/>
    <s v="Reparaciones para camion ford cargo 1417 Int 66 "/>
    <x v="9"/>
    <x v="11"/>
    <x v="15"/>
    <n v="15925431.040000003"/>
  </r>
  <r>
    <x v="56"/>
    <n v="5570000"/>
    <n v="5200000"/>
    <n v="370000"/>
    <n v="7.1153846153846151E-2"/>
    <s v="Reparacion de camion FORD modelo  Cargo 1517   Int: 197"/>
    <x v="9"/>
    <x v="11"/>
    <x v="15"/>
    <m/>
  </r>
  <r>
    <x v="38"/>
    <n v="2438000"/>
    <n v="2291720"/>
    <n v="146280"/>
    <n v="6.3829787234042548E-2"/>
    <s v="Reparación Bomba de alta presión Ford Cargo 1517 Int 199"/>
    <x v="9"/>
    <x v="11"/>
    <x v="15"/>
    <m/>
  </r>
  <r>
    <x v="38"/>
    <n v="4651000"/>
    <n v="4371940"/>
    <n v="279060"/>
    <n v="6.3829787234042548E-2"/>
    <s v="Reparación Bomba alta presion p/Ford Ranger 3.0 INT. N° 022"/>
    <x v="9"/>
    <x v="11"/>
    <x v="15"/>
    <m/>
  </r>
  <r>
    <x v="20"/>
    <n v="7405885"/>
    <n v="7164454"/>
    <n v="241431"/>
    <n v="3.3698450712364124E-2"/>
    <s v="MdeO y repuestos para movil 465 Ford Ranger 2,2"/>
    <x v="9"/>
    <x v="2"/>
    <x v="0"/>
    <m/>
  </r>
  <r>
    <x v="30"/>
    <n v="358654"/>
    <n v="337557"/>
    <n v="21097"/>
    <n v="6.249907423042627E-2"/>
    <s v="servicio téc del móvil N°450 AE 136 BL Fiat Strada Working 1.4 año 2020"/>
    <x v="9"/>
    <x v="7"/>
    <x v="58"/>
    <m/>
  </r>
  <r>
    <x v="16"/>
    <n v="990000"/>
    <n v="890000"/>
    <n v="100000"/>
    <n v="0.11235955056179775"/>
    <s v="Alquiler de estructura"/>
    <x v="9"/>
    <x v="6"/>
    <x v="43"/>
    <m/>
  </r>
  <r>
    <x v="23"/>
    <n v="10940000"/>
    <n v="10430000"/>
    <n v="510000"/>
    <n v="4.8897411313518699E-2"/>
    <s v="Alquiler de sonido, pantalla y escenario "/>
    <x v="9"/>
    <x v="6"/>
    <x v="43"/>
    <m/>
  </r>
  <r>
    <x v="74"/>
    <n v="510000"/>
    <n v="450000"/>
    <n v="60000"/>
    <n v="0.13333333333333333"/>
    <s v="Carteles "/>
    <x v="9"/>
    <x v="6"/>
    <x v="43"/>
    <m/>
  </r>
  <r>
    <x v="98"/>
    <n v="3500000"/>
    <n v="3000000"/>
    <n v="500000"/>
    <n v="0.16666666666666666"/>
    <s v="Dhow de DJ "/>
    <x v="9"/>
    <x v="6"/>
    <x v="43"/>
    <m/>
  </r>
  <r>
    <x v="99"/>
    <n v="6500000"/>
    <n v="5000000"/>
    <n v="1500000"/>
    <n v="0.3"/>
    <s v="2 maquinas de box "/>
    <x v="9"/>
    <x v="6"/>
    <x v="43"/>
    <m/>
  </r>
  <r>
    <x v="99"/>
    <n v="6400000"/>
    <n v="6300000"/>
    <n v="100000"/>
    <n v="1.5873015873015872E-2"/>
    <s v="Cabinas espejadas "/>
    <x v="9"/>
    <x v="6"/>
    <x v="43"/>
    <m/>
  </r>
  <r>
    <x v="99"/>
    <n v="7000000"/>
    <n v="6500000"/>
    <n v="500000"/>
    <n v="7.6923076923076927E-2"/>
    <s v="campo de juego de hidrogel"/>
    <x v="9"/>
    <x v="6"/>
    <x v="43"/>
    <m/>
  </r>
  <r>
    <x v="99"/>
    <n v="6000000"/>
    <n v="5900000"/>
    <n v="100000"/>
    <n v="1.6949152542372881E-2"/>
    <s v="Metegol humano "/>
    <x v="9"/>
    <x v="6"/>
    <x v="43"/>
    <m/>
  </r>
  <r>
    <x v="100"/>
    <n v="3029000"/>
    <n v="2729000"/>
    <n v="300000"/>
    <n v="0.10993037742762916"/>
    <s v="MANO DE OBRA P/ MOVIL N° 443 - FIAT STRADA"/>
    <x v="9"/>
    <x v="2"/>
    <x v="0"/>
    <m/>
  </r>
  <r>
    <x v="30"/>
    <n v="1007833"/>
    <n v="977293"/>
    <n v="30540"/>
    <n v="3.1249584310948712E-2"/>
    <s v=" Mano de Obra p/ Móvil N°324 AB 663 RU ID N°28997"/>
    <x v="9"/>
    <x v="7"/>
    <x v="59"/>
    <m/>
  </r>
  <r>
    <x v="30"/>
    <n v="630220"/>
    <n v="589220"/>
    <n v="41000"/>
    <n v="6.9583517192220223E-2"/>
    <s v="Mano de Obra p/ Móvil N°437 AC 636 SR ID N°83573"/>
    <x v="9"/>
    <x v="8"/>
    <x v="0"/>
    <m/>
  </r>
  <r>
    <x v="30"/>
    <n v="113135"/>
    <n v="106480"/>
    <n v="6655"/>
    <n v="6.25E-2"/>
    <s v="Mano de Obra p/ Móvil N°319 AB 663 RS ID N°28992"/>
    <x v="9"/>
    <x v="7"/>
    <x v="59"/>
    <m/>
  </r>
  <r>
    <x v="30"/>
    <n v="574145"/>
    <n v="541717"/>
    <n v="32428"/>
    <n v="5.9861514406968949E-2"/>
    <s v="Repuestos para los vehículo INT. 216,229 y 220"/>
    <x v="9"/>
    <x v="11"/>
    <x v="15"/>
    <m/>
  </r>
  <r>
    <x v="30"/>
    <n v="640332"/>
    <n v="604758"/>
    <n v="35574"/>
    <n v="5.8823529411764705E-2"/>
    <s v="Repuestos para el vehículo INT.111, Ford 4000"/>
    <x v="9"/>
    <x v="11"/>
    <x v="15"/>
    <m/>
  </r>
  <r>
    <x v="38"/>
    <n v="2490000"/>
    <n v="2340600"/>
    <n v="149400"/>
    <n v="6.3829787234042548E-2"/>
    <s v="Reparación del vehículo Int.37,Ford Cargo 1416"/>
    <x v="9"/>
    <x v="11"/>
    <x v="15"/>
    <m/>
  </r>
  <r>
    <x v="38"/>
    <n v="2170000"/>
    <n v="2036800"/>
    <n v="133200"/>
    <n v="6.5396700706991356E-2"/>
    <s v=" Reparación de Inyectores p/ Móvil N°250 AF 579 RG ID N°65391"/>
    <x v="9"/>
    <x v="7"/>
    <x v="59"/>
    <m/>
  </r>
  <r>
    <x v="38"/>
    <n v="4874200"/>
    <n v="4581800"/>
    <n v="292400"/>
    <n v="6.381771356235541E-2"/>
    <s v=" Reparación del vehículo INT.197 Ford Cargo 1517, Dominio:ILE587"/>
    <x v="9"/>
    <x v="11"/>
    <x v="15"/>
    <m/>
  </r>
  <r>
    <x v="101"/>
    <n v="1140000"/>
    <n v="1026000"/>
    <n v="114000"/>
    <n v="0.1111111111111111"/>
    <s v="Reparación de Móvil N°168 A163VFZ ID N°61367"/>
    <x v="9"/>
    <x v="7"/>
    <x v="59"/>
    <m/>
  </r>
  <r>
    <x v="101"/>
    <n v="1884000"/>
    <n v="1695600"/>
    <n v="188400"/>
    <n v="0.1111111111111111"/>
    <s v="Reparación de Móvil N°328 A037JZF ID N°29009"/>
    <x v="9"/>
    <x v="7"/>
    <x v="59"/>
    <m/>
  </r>
  <r>
    <x v="15"/>
    <n v="15100000"/>
    <n v="14300000"/>
    <n v="800000"/>
    <n v="5.5944055944055944E-2"/>
    <s v="Provisión de martillo hidráulico p/Int. 149"/>
    <x v="9"/>
    <x v="11"/>
    <x v="15"/>
    <m/>
  </r>
  <r>
    <x v="15"/>
    <n v="8460000"/>
    <n v="8070000"/>
    <n v="390000"/>
    <n v="4.8327137546468404E-2"/>
    <s v="Reparaciones p/Int. 138"/>
    <x v="9"/>
    <x v="11"/>
    <x v="15"/>
    <m/>
  </r>
  <r>
    <x v="15"/>
    <n v="6342000"/>
    <n v="5980000"/>
    <n v="362000"/>
    <n v="6.0535117056856186E-2"/>
    <s v="Reparación del los vehículos INT.38 camión Ford Cargo 1416, 46  Ford Cargo 1416 Y 8 Pala Cargadora"/>
    <x v="9"/>
    <x v="11"/>
    <x v="15"/>
    <m/>
  </r>
  <r>
    <x v="15"/>
    <n v="5410600"/>
    <n v="5110000"/>
    <n v="300600"/>
    <n v="5.8825831702544032E-2"/>
    <s v="Reparación de los vehículo INT. 216,222,198 Y 182"/>
    <x v="9"/>
    <x v="11"/>
    <x v="15"/>
    <m/>
  </r>
  <r>
    <x v="38"/>
    <n v="2895000"/>
    <n v="2721000"/>
    <n v="174000"/>
    <n v="6.3947078280044103E-2"/>
    <s v="reparación del vehículo INT.80 Motoniveladora Galion 830 Serie B año 1997"/>
    <x v="9"/>
    <x v="11"/>
    <x v="15"/>
    <m/>
  </r>
  <r>
    <x v="30"/>
    <n v="588302"/>
    <n v="553696"/>
    <n v="34606"/>
    <n v="6.25E-2"/>
    <s v="Pedido de Reparación del vehículo INT.182, Ford Ranger 3.0"/>
    <x v="9"/>
    <x v="11"/>
    <x v="15"/>
    <m/>
  </r>
  <r>
    <x v="30"/>
    <n v="706942"/>
    <n v="665803"/>
    <n v="41139"/>
    <n v="6.1788547062719752E-2"/>
    <s v="Repuestos para los vehículos INT. 221,126 Y 138"/>
    <x v="9"/>
    <x v="11"/>
    <x v="15"/>
    <m/>
  </r>
  <r>
    <x v="30"/>
    <n v="1462582"/>
    <n v="1376441"/>
    <n v="86141"/>
    <n v="6.2582413630515227E-2"/>
    <s v="reparación del vehículo INT.118 Ford 4000"/>
    <x v="9"/>
    <x v="11"/>
    <x v="15"/>
    <m/>
  </r>
  <r>
    <x v="30"/>
    <n v="575960"/>
    <n v="542080"/>
    <n v="33880"/>
    <n v="6.25E-2"/>
    <s v="MANO DE OBRA reparacion alternador movil Nº 062"/>
    <x v="9"/>
    <x v="18"/>
    <x v="60"/>
    <m/>
  </r>
  <r>
    <x v="30"/>
    <n v="508624"/>
    <n v="478705"/>
    <n v="29919"/>
    <n v="6.2499869439425114E-2"/>
    <s v="MANO DE OBRA cambio de óptica móvil Nº 125"/>
    <x v="9"/>
    <x v="18"/>
    <x v="60"/>
    <m/>
  </r>
  <r>
    <x v="30"/>
    <n v="716090"/>
    <n v="716320"/>
    <n v="-230"/>
    <n v="-3.2108554835827565E-4"/>
    <s v="Repuestos para el vehículo INT.206"/>
    <x v="9"/>
    <x v="11"/>
    <x v="15"/>
    <m/>
  </r>
  <r>
    <x v="30"/>
    <n v="1043188"/>
    <n v="982918"/>
    <n v="60270"/>
    <n v="6.131742424088276E-2"/>
    <s v="Pedido de repuestos para los vehículos INT. 182 Y 179"/>
    <x v="9"/>
    <x v="11"/>
    <x v="15"/>
    <m/>
  </r>
  <r>
    <x v="30"/>
    <n v="798000"/>
    <n v="756000"/>
    <n v="42000"/>
    <n v="5.5555555555555552E-2"/>
    <s v="repuesto para el vehículo INT. 205 Autoelevador Nissan, Dominio: BRR67"/>
    <x v="9"/>
    <x v="11"/>
    <x v="15"/>
    <m/>
  </r>
  <r>
    <x v="30"/>
    <n v="738300"/>
    <n v="697285"/>
    <n v="41015"/>
    <n v="5.8820998587378187E-2"/>
    <s v="Repuestos para los vehículos INT. 66, 118 93 Y 139"/>
    <x v="9"/>
    <x v="11"/>
    <x v="15"/>
    <m/>
  </r>
  <r>
    <x v="30"/>
    <n v="7393005"/>
    <n v="6930942"/>
    <n v="462063"/>
    <n v="6.6666695522773101E-2"/>
    <s v="repuestos para los vehículos INT. 93,94 Y 139"/>
    <x v="9"/>
    <x v="11"/>
    <x v="15"/>
    <m/>
  </r>
  <r>
    <x v="30"/>
    <n v="750442"/>
    <n v="707003"/>
    <n v="43439"/>
    <n v="6.1441040561355471E-2"/>
    <s v="Repuestos para los vehículos INT. 123, 30, 74 Y 121"/>
    <x v="9"/>
    <x v="11"/>
    <x v="15"/>
    <m/>
  </r>
  <r>
    <x v="30"/>
    <n v="407771"/>
    <n v="348658"/>
    <n v="59113"/>
    <n v="0.16954436725960684"/>
    <s v="Repuestos para los vehículos INT. 219, 112 Y 45"/>
    <x v="9"/>
    <x v="11"/>
    <x v="15"/>
    <m/>
  </r>
  <r>
    <x v="38"/>
    <n v="5038700"/>
    <n v="4736372"/>
    <n v="302328"/>
    <n v="6.3831134885519974E-2"/>
    <s v="Reparación del vehículo INT.97 VW AMAROK, Dominio: NUM807"/>
    <x v="9"/>
    <x v="11"/>
    <x v="15"/>
    <m/>
  </r>
  <r>
    <x v="102"/>
    <n v="1620000"/>
    <n v="1458000"/>
    <n v="162000"/>
    <n v="0.1111111111111111"/>
    <s v="reparacion int 159"/>
    <x v="9"/>
    <x v="7"/>
    <x v="23"/>
    <m/>
  </r>
  <r>
    <x v="20"/>
    <n v="314353"/>
    <n v="296389"/>
    <n v="17964"/>
    <n v="6.0609536791176463E-2"/>
    <s v="repuestos int 176"/>
    <x v="9"/>
    <x v="11"/>
    <x v="15"/>
    <m/>
  </r>
  <r>
    <x v="20"/>
    <n v="1191491"/>
    <n v="1121094"/>
    <n v="70397"/>
    <n v="6.279312885449391E-2"/>
    <s v="repuestos int 8"/>
    <x v="9"/>
    <x v="11"/>
    <x v="15"/>
    <m/>
  </r>
  <r>
    <x v="20"/>
    <n v="418418"/>
    <n v="396396"/>
    <n v="22022"/>
    <n v="5.5555555555555552E-2"/>
    <s v="repuestos 92"/>
    <x v="9"/>
    <x v="11"/>
    <x v="15"/>
    <m/>
  </r>
  <r>
    <x v="15"/>
    <n v="8360000"/>
    <n v="7900000"/>
    <n v="460000"/>
    <n v="5.8227848101265821E-2"/>
    <s v="reparacion int 7 - 387"/>
    <x v="9"/>
    <x v="11"/>
    <x v="15"/>
    <m/>
  </r>
  <r>
    <x v="42"/>
    <n v="589717.19999999995"/>
    <n v="560231.36"/>
    <n v="29485.839999999967"/>
    <n v="5.2631541368908671E-2"/>
    <s v="bomba roptativa manual para aceite de 200 lts bremen"/>
    <x v="9"/>
    <x v="11"/>
    <x v="15"/>
    <m/>
  </r>
  <r>
    <x v="73"/>
    <n v="75202140"/>
    <n v="69947325.799999997"/>
    <n v="5254814.200000003"/>
    <n v="7.5125305219316957E-2"/>
    <s v="torfeos y medallas"/>
    <x v="9"/>
    <x v="7"/>
    <x v="4"/>
    <m/>
  </r>
  <r>
    <x v="17"/>
    <n v="7769000"/>
    <n v="7100000"/>
    <n v="669000"/>
    <n v="9.4225352112676061E-2"/>
    <s v="Grupo electrogeno "/>
    <x v="9"/>
    <x v="7"/>
    <x v="61"/>
    <m/>
  </r>
  <r>
    <x v="103"/>
    <m/>
    <m/>
    <m/>
    <m/>
    <m/>
    <x v="1"/>
    <x v="3"/>
    <x v="0"/>
    <m/>
  </r>
  <r>
    <x v="16"/>
    <n v="7559000"/>
    <n v="7060000"/>
    <n v="499000"/>
    <n v="7.0679886685552404E-2"/>
    <s v="alquiler de sonido "/>
    <x v="10"/>
    <x v="11"/>
    <x v="0"/>
    <n v="6881778"/>
  </r>
  <r>
    <x v="30"/>
    <n v="922583"/>
    <n v="877935"/>
    <n v="44648"/>
    <n v="5.0855701162386739E-2"/>
    <s v="Repuestos p/Int. 66-45-46-68-65-38- 022-348-182-181-035-178-97-103-94-139-92-91-026-87-94-33"/>
    <x v="10"/>
    <x v="11"/>
    <x v="15"/>
    <m/>
  </r>
  <r>
    <x v="30"/>
    <n v="1523958"/>
    <n v="1432638"/>
    <n v="91320"/>
    <n v="6.3742550455872307E-2"/>
    <s v="Repuestos p/Int. 216-4-38"/>
    <x v="10"/>
    <x v="11"/>
    <x v="15"/>
    <m/>
  </r>
  <r>
    <x v="30"/>
    <n v="2551508"/>
    <n v="2405624"/>
    <n v="145884"/>
    <n v="6.0642893486263852E-2"/>
    <s v="Repuestos p/Int. 66-45-45-65-37-197-199-228-232-229-385-382"/>
    <x v="10"/>
    <x v="11"/>
    <x v="15"/>
    <m/>
  </r>
  <r>
    <x v="23"/>
    <n v="7356000"/>
    <n v="7160760"/>
    <n v="195240"/>
    <n v="2.7265262346454846E-2"/>
    <s v="SOnido para expo municipal ONG'S "/>
    <x v="10"/>
    <x v="1"/>
    <x v="0"/>
    <m/>
  </r>
  <r>
    <x v="104"/>
    <n v="4866800"/>
    <n v="4668000"/>
    <n v="198800"/>
    <n v="4.2587832047986288E-2"/>
    <s v="cpu y monitores "/>
    <x v="10"/>
    <x v="7"/>
    <x v="62"/>
    <m/>
  </r>
  <r>
    <x v="8"/>
    <n v="3120000"/>
    <n v="2735000"/>
    <n v="385000"/>
    <n v="0.14076782449725778"/>
    <s v="Torneo de ajedrez "/>
    <x v="10"/>
    <x v="7"/>
    <x v="43"/>
    <m/>
  </r>
  <r>
    <x v="21"/>
    <n v="1800000"/>
    <n v="1700000"/>
    <n v="100000"/>
    <n v="5.8823529411764705E-2"/>
    <s v="Reparación para Planta Hormigonera de Premoldeados"/>
    <x v="10"/>
    <x v="11"/>
    <x v="15"/>
    <m/>
  </r>
  <r>
    <x v="21"/>
    <n v="8380000"/>
    <n v="7940000"/>
    <n v="440000"/>
    <n v="5.5415617128463476E-2"/>
    <s v="Reparaciones p/Int. 97-176-25-138-27"/>
    <x v="10"/>
    <x v="11"/>
    <x v="15"/>
    <m/>
  </r>
  <r>
    <x v="30"/>
    <n v="1036365"/>
    <n v="977983"/>
    <n v="58382"/>
    <n v="5.9696334189858105E-2"/>
    <s v="reparacion para int 177 y 68"/>
    <x v="10"/>
    <x v="11"/>
    <x v="15"/>
    <m/>
  </r>
  <r>
    <x v="101"/>
    <n v="1165000"/>
    <n v="905000"/>
    <n v="260000"/>
    <n v="0.287292817679558"/>
    <s v="Reparacion movil int 519"/>
    <x v="10"/>
    <x v="25"/>
    <x v="0"/>
    <m/>
  </r>
  <r>
    <x v="8"/>
    <n v="3550000"/>
    <n v="3475000"/>
    <n v="75000"/>
    <n v="2.1582733812949641E-2"/>
    <s v="Insumos tecnologicos "/>
    <x v="10"/>
    <x v="6"/>
    <x v="29"/>
    <m/>
  </r>
  <r>
    <x v="67"/>
    <n v="13445200"/>
    <n v="12638490"/>
    <n v="806710"/>
    <n v="6.3829618886433431E-2"/>
    <s v="Reparacion para ford 4000 Int 215"/>
    <x v="10"/>
    <x v="11"/>
    <x v="15"/>
    <m/>
  </r>
  <r>
    <x v="38"/>
    <n v="13445200"/>
    <n v="12638490"/>
    <n v="806710"/>
    <n v="6.3829618886433431E-2"/>
    <s v="Reparacion para ford 4000 Int 121"/>
    <x v="10"/>
    <x v="11"/>
    <x v="15"/>
    <m/>
  </r>
  <r>
    <x v="105"/>
    <n v="2560000"/>
    <n v="2064000"/>
    <n v="496000"/>
    <n v="0.24031007751937986"/>
    <s v="chombas con logo bordado frente y espalda"/>
    <x v="10"/>
    <x v="26"/>
    <x v="0"/>
    <m/>
  </r>
  <r>
    <x v="47"/>
    <n v="2382889"/>
    <n v="2231488"/>
    <n v="151401"/>
    <n v="6.7847552843663061E-2"/>
    <s v="Insumos electricos "/>
    <x v="10"/>
    <x v="11"/>
    <x v="63"/>
    <m/>
  </r>
  <r>
    <x v="20"/>
    <n v="2792400"/>
    <n v="2714400"/>
    <n v="78000"/>
    <n v="2.8735632183908046E-2"/>
    <s v="Repuestos p/Int. 157"/>
    <x v="10"/>
    <x v="11"/>
    <x v="15"/>
    <m/>
  </r>
  <r>
    <x v="20"/>
    <n v="765204"/>
    <n v="720192"/>
    <n v="45012"/>
    <n v="6.25E-2"/>
    <s v="Repuestos p/Int. 206 ford cargo 1832 dominio:isk-642 "/>
    <x v="10"/>
    <x v="11"/>
    <x v="15"/>
    <m/>
  </r>
  <r>
    <x v="20"/>
    <n v="2338141"/>
    <n v="2272551"/>
    <n v="65590"/>
    <n v="2.8861838524195937E-2"/>
    <s v="Repuestos p/Int. 215-39-112-212-116- 217-190-66-38"/>
    <x v="10"/>
    <x v="11"/>
    <x v="15"/>
    <m/>
  </r>
  <r>
    <x v="20"/>
    <n v="1580038"/>
    <n v="1492256"/>
    <n v="87782"/>
    <n v="5.882502734115326E-2"/>
    <s v="Repuestos p/Int. 7-39-495-208-233-389- 157-116-112-120"/>
    <x v="10"/>
    <x v="11"/>
    <x v="15"/>
    <m/>
  </r>
  <r>
    <x v="106"/>
    <n v="5970000"/>
    <n v="5180000"/>
    <n v="790000"/>
    <n v="0.15250965250965251"/>
    <s v="Escenario completo para danza folkloricas "/>
    <x v="10"/>
    <x v="11"/>
    <x v="64"/>
    <m/>
  </r>
  <r>
    <x v="62"/>
    <n v="3176740"/>
    <n v="3113200"/>
    <n v="63540"/>
    <n v="2.0409867660285238E-2"/>
    <s v="Pedido de cuchillas para el vehículo INT.52 Motoniveladora Galion 830"/>
    <x v="10"/>
    <x v="11"/>
    <x v="15"/>
    <m/>
  </r>
  <r>
    <x v="62"/>
    <n v="3176740"/>
    <n v="3113200"/>
    <n v="63540"/>
    <n v="2.0409867660285238E-2"/>
    <s v="Pedido de kit de herramientas para el vehículo INT.79, Motoniveladora Galion 830"/>
    <x v="10"/>
    <x v="11"/>
    <x v="15"/>
    <m/>
  </r>
  <r>
    <x v="62"/>
    <n v="1102120"/>
    <n v="1069060"/>
    <n v="33060"/>
    <n v="3.0924363459487774E-2"/>
    <s v="pedido de ruedas para los vehículos internos 192 y 193 J. Deere"/>
    <x v="10"/>
    <x v="11"/>
    <x v="15"/>
    <m/>
  </r>
  <r>
    <x v="62"/>
    <n v="686520"/>
    <n v="665930"/>
    <n v="20590"/>
    <n v="3.0919165678074272E-2"/>
    <s v="Pedido de Reparación del vehículo  INT.81 ,Motoniveladora Galion 830"/>
    <x v="10"/>
    <x v="11"/>
    <x v="15"/>
    <m/>
  </r>
  <r>
    <x v="62"/>
    <n v="6931680"/>
    <n v="6793050"/>
    <n v="138630"/>
    <n v="2.0407622496522181E-2"/>
    <s v="pedido de interno 80 motoniveladora galion"/>
    <x v="10"/>
    <x v="11"/>
    <x v="15"/>
    <m/>
  </r>
  <r>
    <x v="56"/>
    <n v="1730000"/>
    <n v="1600000"/>
    <n v="130000"/>
    <n v="8.1250000000000003E-2"/>
    <s v="reparación del vehículo INT.112, Ford 4000, Dominio: ENM967"/>
    <x v="10"/>
    <x v="11"/>
    <x v="15"/>
    <m/>
  </r>
  <r>
    <x v="56"/>
    <n v="3462000"/>
    <n v="3250000"/>
    <n v="212000"/>
    <n v="6.5230769230769231E-2"/>
    <s v="Reparación de los vehículos Int. 233, 213,138 y 93"/>
    <x v="10"/>
    <x v="11"/>
    <x v="15"/>
    <m/>
  </r>
  <r>
    <x v="56"/>
    <n v="4865000"/>
    <n v="4600000"/>
    <n v="265000"/>
    <n v="5.7608695652173914E-2"/>
    <s v="Reparación de los vehículos Int. 233, 213,138 y 93"/>
    <x v="10"/>
    <x v="11"/>
    <x v="15"/>
    <m/>
  </r>
  <r>
    <x v="30"/>
    <n v="632647"/>
    <n v="597681"/>
    <n v="34966"/>
    <n v="5.8502779911022769E-2"/>
    <s v="Repuestos para el vehículo INT.111, Ford 4000, dominio: ENM969"/>
    <x v="10"/>
    <x v="11"/>
    <x v="15"/>
    <m/>
  </r>
  <r>
    <x v="30"/>
    <n v="3498576"/>
    <n v="3398603"/>
    <n v="99973"/>
    <n v="2.9415910007729647E-2"/>
    <s v="Pedido para controlar - Repuestos p/Int. 130-131-112-114-116-74-149-6-65-1-216-188-140-94-388-232-194-198-200-229-110-100-380-381-68-111-121-38-37-15"/>
    <x v="10"/>
    <x v="11"/>
    <x v="15"/>
    <m/>
  </r>
  <r>
    <x v="107"/>
    <m/>
    <m/>
    <m/>
    <m/>
    <m/>
    <x v="1"/>
    <x v="3"/>
    <x v="0"/>
    <m/>
  </r>
  <r>
    <x v="12"/>
    <n v="4049054"/>
    <n v="3482186.44"/>
    <n v="566867.56000000006"/>
    <n v="0.16279069767441862"/>
    <s v="Mantenimiento de aires Com "/>
    <x v="11"/>
    <x v="7"/>
    <x v="65"/>
    <n v="20693700.560000002"/>
  </r>
  <r>
    <x v="16"/>
    <n v="4997000"/>
    <n v="4656000"/>
    <n v="341000"/>
    <n v="7.3238831615120278E-2"/>
    <s v="Electrodomesticos "/>
    <x v="11"/>
    <x v="11"/>
    <x v="14"/>
    <m/>
  </r>
  <r>
    <x v="108"/>
    <n v="15382798"/>
    <n v="13967789"/>
    <n v="1415009"/>
    <n v="0.10130515287709457"/>
    <s v="Trofeos medallas "/>
    <x v="11"/>
    <x v="27"/>
    <x v="61"/>
    <m/>
  </r>
  <r>
    <x v="16"/>
    <n v="7970000"/>
    <n v="7150000"/>
    <n v="820000"/>
    <n v="0.11468531468531469"/>
    <s v="Sonido, escenario, luces"/>
    <x v="11"/>
    <x v="6"/>
    <x v="43"/>
    <m/>
  </r>
  <r>
    <x v="109"/>
    <n v="6550000"/>
    <n v="6000000"/>
    <n v="550000"/>
    <n v="9.166666666666666E-2"/>
    <s v="Sonido, escenario, luces"/>
    <x v="11"/>
    <x v="11"/>
    <x v="0"/>
    <m/>
  </r>
  <r>
    <x v="43"/>
    <n v="15829100"/>
    <n v="13214700"/>
    <n v="2614400"/>
    <n v="0.19784028392623365"/>
    <s v="Insumos de limpieza "/>
    <x v="11"/>
    <x v="11"/>
    <x v="66"/>
    <m/>
  </r>
  <r>
    <x v="78"/>
    <n v="265661500"/>
    <n v="252378425"/>
    <n v="13283075"/>
    <n v="5.2631578947368418E-2"/>
    <s v="Trofeos "/>
    <x v="11"/>
    <x v="7"/>
    <x v="46"/>
    <m/>
  </r>
  <r>
    <x v="54"/>
    <n v="2832863"/>
    <n v="2573615"/>
    <n v="259248"/>
    <n v="0.10073301562199474"/>
    <s v="Articulos de limppieza "/>
    <x v="11"/>
    <x v="25"/>
    <x v="0"/>
    <m/>
  </r>
  <r>
    <x v="110"/>
    <n v="670000"/>
    <n v="620000"/>
    <n v="50000"/>
    <n v="8.0645161290322578E-2"/>
    <s v="Mano de Obra p/ Móvil N°246 AF 579 RD ID N°65387"/>
    <x v="11"/>
    <x v="7"/>
    <x v="50"/>
    <m/>
  </r>
  <r>
    <x v="47"/>
    <n v="1178754"/>
    <n v="1079938"/>
    <n v="98816"/>
    <n v="9.1501549163007512E-2"/>
    <s v="Articulos de limpieza "/>
    <x v="11"/>
    <x v="3"/>
    <x v="67"/>
    <m/>
  </r>
  <r>
    <x v="30"/>
    <n v="6179734"/>
    <n v="6061136"/>
    <n v="118598"/>
    <n v="1.9566959065099348E-2"/>
    <s v="Repuestos para int 053"/>
    <x v="11"/>
    <x v="3"/>
    <x v="68"/>
    <m/>
  </r>
  <r>
    <x v="23"/>
    <n v="5849300"/>
    <n v="5458854"/>
    <n v="390446"/>
    <n v="7.1525268856796678E-2"/>
    <s v="arti de informatica "/>
    <x v="11"/>
    <x v="7"/>
    <x v="0"/>
    <m/>
  </r>
  <r>
    <x v="38"/>
    <n v="3111000"/>
    <n v="2924759"/>
    <n v="186241"/>
    <n v="6.3677383333122492E-2"/>
    <s v="repuestos para tractor fiat  u25 "/>
    <x v="11"/>
    <x v="3"/>
    <x v="68"/>
    <m/>
  </r>
  <r>
    <x v="111"/>
    <m/>
    <m/>
    <m/>
    <m/>
    <m/>
    <x v="1"/>
    <x v="3"/>
    <x v="0"/>
    <m/>
  </r>
  <r>
    <x v="30"/>
    <n v="991625"/>
    <n v="963293"/>
    <n v="28332"/>
    <n v="2.94116120432724E-2"/>
    <s v="Mano de Obra p/ Móvil N°132 OEZ 477 ID N°22505"/>
    <x v="12"/>
    <x v="3"/>
    <x v="69"/>
    <n v="40657529"/>
  </r>
  <r>
    <x v="22"/>
    <n v="2295000"/>
    <n v="1845000"/>
    <n v="450000"/>
    <n v="0.24390243902439024"/>
    <s v="Decoracion de navidad "/>
    <x v="12"/>
    <x v="11"/>
    <x v="0"/>
    <m/>
  </r>
  <r>
    <x v="112"/>
    <n v="63500514"/>
    <n v="24399684"/>
    <n v="39100830"/>
    <n v="1.6025137866539583"/>
    <s v="Insumos de ferreteria "/>
    <x v="12"/>
    <x v="11"/>
    <x v="15"/>
    <m/>
  </r>
  <r>
    <x v="8"/>
    <n v="2050000"/>
    <n v="1980000"/>
    <n v="70000"/>
    <n v="3.5353535353535352E-2"/>
    <s v="Butacas para autos "/>
    <x v="12"/>
    <x v="7"/>
    <x v="70"/>
    <m/>
  </r>
  <r>
    <x v="113"/>
    <n v="19145500"/>
    <n v="18137133"/>
    <n v="1008367"/>
    <n v="5.5596824481576004E-2"/>
    <s v="Insumos de luminaria "/>
    <x v="12"/>
    <x v="11"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s v="vuelta marcelo"/>
    <n v="1372795"/>
    <n v="878542"/>
    <n v="494253"/>
    <n v="0.56258323449533432"/>
    <s v="articulo de limpieza"/>
    <x v="0"/>
    <x v="0"/>
    <x v="0"/>
    <n v="33353068.829999998"/>
  </r>
  <r>
    <s v="vuelta marcelo"/>
    <n v="2309468.75"/>
    <n v="1727722"/>
    <n v="581746.75"/>
    <n v="0.33671316913253407"/>
    <s v="articulo de limpieza"/>
    <x v="0"/>
    <x v="0"/>
    <x v="0"/>
    <m/>
  </r>
  <r>
    <s v="katarzynski lucas"/>
    <n v="1879100"/>
    <n v="1701800"/>
    <n v="177300"/>
    <n v="0.10418380538253613"/>
    <s v="insumos de jardineria"/>
    <x v="0"/>
    <x v="1"/>
    <x v="0"/>
    <m/>
  </r>
  <r>
    <s v="serv. Integrales de ache"/>
    <n v="898450"/>
    <n v="766000"/>
    <n v="132450"/>
    <n v="0.172911227154047"/>
    <s v="serv. De mantenimiento"/>
    <x v="0"/>
    <x v="1"/>
    <x v="0"/>
    <m/>
  </r>
  <r>
    <s v="fabian julio / ache"/>
    <n v="7189750"/>
    <n v="3226157.54"/>
    <n v="3963592.46"/>
    <n v="1.2285799471528598"/>
    <s v="prov. De aire acondicionado"/>
    <x v="0"/>
    <x v="2"/>
    <x v="1"/>
    <m/>
  </r>
  <r>
    <s v="pda "/>
    <n v="33794916"/>
    <n v="32010596"/>
    <n v="1784320"/>
    <n v="5.5741542581712628E-2"/>
    <s v="insumos de ferreteria"/>
    <x v="0"/>
    <x v="1"/>
    <x v="0"/>
    <m/>
  </r>
  <r>
    <s v="serv. Integrales de ache"/>
    <n v="4853700"/>
    <n v="4368330"/>
    <n v="485370"/>
    <n v="0.1111111111111111"/>
    <s v="serv. De mantenimiento"/>
    <x v="0"/>
    <x v="1"/>
    <x v="0"/>
    <m/>
  </r>
  <r>
    <s v="sturtz gladys"/>
    <n v="2089470"/>
    <n v="1540560"/>
    <n v="548910"/>
    <n v="0.35630549929895622"/>
    <s v="insumos de pintureria"/>
    <x v="0"/>
    <x v="0"/>
    <x v="0"/>
    <m/>
  </r>
  <r>
    <s v="cristales mitre s.a."/>
    <n v="2325994"/>
    <n v="2016851"/>
    <n v="309143"/>
    <n v="0.15328003903114309"/>
    <s v="repuesto"/>
    <x v="0"/>
    <x v="0"/>
    <x v="2"/>
    <m/>
  </r>
  <r>
    <s v="iurisci alejandro"/>
    <n v="1624481"/>
    <n v="1380743"/>
    <n v="243738"/>
    <n v="0.17652669613389313"/>
    <s v="insumos de ferreteria"/>
    <x v="0"/>
    <x v="3"/>
    <x v="3"/>
    <m/>
  </r>
  <r>
    <s v="quintero gabriel"/>
    <n v="4511660"/>
    <n v="4193660"/>
    <n v="318000"/>
    <n v="7.5828751019395943E-2"/>
    <s v="insumos de librería"/>
    <x v="0"/>
    <x v="1"/>
    <x v="0"/>
    <m/>
  </r>
  <r>
    <s v="veron marcelo"/>
    <n v="3945320"/>
    <n v="3355470"/>
    <n v="589850"/>
    <n v="0.17578759458436524"/>
    <s v="insumos de computacion"/>
    <x v="0"/>
    <x v="1"/>
    <x v="0"/>
    <m/>
  </r>
  <r>
    <s v="veron marcelo"/>
    <n v="1074110"/>
    <n v="966701"/>
    <n v="107409"/>
    <n v="0.11110881234218233"/>
    <s v="insumos de computacion"/>
    <x v="0"/>
    <x v="1"/>
    <x v="0"/>
    <m/>
  </r>
  <r>
    <s v="buitencamp patricia "/>
    <n v="128000"/>
    <n v="115000"/>
    <n v="13000"/>
    <n v="0.11304347826086956"/>
    <s v="sellos"/>
    <x v="0"/>
    <x v="4"/>
    <x v="0"/>
    <m/>
  </r>
  <r>
    <s v="arce eber"/>
    <n v="195822"/>
    <n v="180007"/>
    <n v="15815"/>
    <n v="8.7857694422994667E-2"/>
    <s v="insumos de mantenimiento"/>
    <x v="0"/>
    <x v="1"/>
    <x v="0"/>
    <m/>
  </r>
  <r>
    <s v="veron marcelo"/>
    <n v="493440"/>
    <n v="456859"/>
    <n v="36581"/>
    <n v="8.0070656373191731E-2"/>
    <s v="termotanque y horno electrico "/>
    <x v="0"/>
    <x v="1"/>
    <x v="0"/>
    <m/>
  </r>
  <r>
    <s v="buitencamp patricia "/>
    <n v="250000"/>
    <n v="200000"/>
    <n v="50000"/>
    <n v="0.25"/>
    <s v="sellos"/>
    <x v="0"/>
    <x v="5"/>
    <x v="0"/>
    <m/>
  </r>
  <r>
    <s v="veron marcelo"/>
    <n v="197280"/>
    <n v="187416"/>
    <n v="9864"/>
    <n v="5.2631578947368418E-2"/>
    <s v="ventilador"/>
    <x v="0"/>
    <x v="1"/>
    <x v="0"/>
    <m/>
  </r>
  <r>
    <s v="emprendimientos mall s.a."/>
    <n v="1873830"/>
    <n v="1447180"/>
    <n v="426650"/>
    <n v="0.29481474315565442"/>
    <s v="ropa de trabajo"/>
    <x v="0"/>
    <x v="3"/>
    <x v="4"/>
    <m/>
  </r>
  <r>
    <s v="munguia rosana "/>
    <n v="883058"/>
    <n v="679000"/>
    <n v="204058"/>
    <n v="0.30052724594992636"/>
    <s v="tornillos, bajomesada y asiento "/>
    <x v="0"/>
    <x v="3"/>
    <x v="5"/>
    <m/>
  </r>
  <r>
    <s v="schwartz diego"/>
    <n v="1068086.1499999999"/>
    <n v="960214.63"/>
    <n v="107871.5199999999"/>
    <n v="0.11234105025040068"/>
    <s v="insumos de peluqueria"/>
    <x v="0"/>
    <x v="3"/>
    <x v="6"/>
    <m/>
  </r>
  <r>
    <s v="schwartz diego"/>
    <n v="664230"/>
    <n v="612290"/>
    <n v="51940"/>
    <n v="8.4829084257459705E-2"/>
    <s v="insumos de peluqueria"/>
    <x v="0"/>
    <x v="3"/>
    <x v="6"/>
    <m/>
  </r>
  <r>
    <s v="schwartz diego"/>
    <n v="95302.61"/>
    <n v="85697.43"/>
    <n v="9605.1800000000076"/>
    <n v="0.11208247435191473"/>
    <s v="insumos de costureria"/>
    <x v="0"/>
    <x v="3"/>
    <x v="6"/>
    <m/>
  </r>
  <r>
    <s v="schwartz diego"/>
    <n v="320041.62"/>
    <n v="307089.86"/>
    <n v="12951.760000000009"/>
    <n v="4.2175798315190249E-2"/>
    <s v="insumos de maquillaje"/>
    <x v="0"/>
    <x v="3"/>
    <x v="6"/>
    <m/>
  </r>
  <r>
    <s v="schwartz diego"/>
    <n v="1057356.8"/>
    <n v="999859.12"/>
    <n v="57497.680000000051"/>
    <n v="5.7505781414485722E-2"/>
    <s v="insumos de maquillaje"/>
    <x v="0"/>
    <x v="3"/>
    <x v="6"/>
    <m/>
  </r>
  <r>
    <s v="schwartz diego"/>
    <n v="603373.31000000006"/>
    <n v="546645.88"/>
    <n v="56727.430000000051"/>
    <n v="0.10377363495358284"/>
    <s v="insumos de costureria"/>
    <x v="0"/>
    <x v="3"/>
    <x v="6"/>
    <m/>
  </r>
  <r>
    <s v="schwartz diego"/>
    <n v="1068086.1499999999"/>
    <n v="960214.63"/>
    <n v="107871.5199999999"/>
    <n v="0.11234105025040068"/>
    <s v="insumos de peluqueria"/>
    <x v="0"/>
    <x v="3"/>
    <x v="6"/>
    <m/>
  </r>
  <r>
    <s v="veron marcelo"/>
    <n v="1581380"/>
    <n v="1423240"/>
    <n v="158140"/>
    <n v="0.11111267249374666"/>
    <s v="impresora multifuncion"/>
    <x v="0"/>
    <x v="1"/>
    <x v="0"/>
    <m/>
  </r>
  <r>
    <s v="veron marcelo"/>
    <n v="1102560"/>
    <n v="1047432"/>
    <n v="55128"/>
    <n v="5.2631578947368418E-2"/>
    <s v="insumos informaticos"/>
    <x v="0"/>
    <x v="1"/>
    <x v="0"/>
    <m/>
  </r>
  <r>
    <s v="veron marcelo"/>
    <n v="759870"/>
    <n v="721870"/>
    <n v="38000"/>
    <n v="5.2641057254076216E-2"/>
    <s v="impresora multifuncion"/>
    <x v="0"/>
    <x v="2"/>
    <x v="0"/>
    <m/>
  </r>
  <r>
    <s v="munguia rosana "/>
    <n v="2098673.16"/>
    <n v="1890709.63"/>
    <n v="207963.53000000026"/>
    <n v="0.10999231542497633"/>
    <s v="insumos de mantenimiento"/>
    <x v="0"/>
    <x v="4"/>
    <x v="7"/>
    <m/>
  </r>
  <r>
    <s v="pda "/>
    <n v="93882500"/>
    <n v="83882500"/>
    <n v="10000000"/>
    <n v="0.11921437725389682"/>
    <s v="prov. De repuesto"/>
    <x v="0"/>
    <x v="0"/>
    <x v="0"/>
    <m/>
  </r>
  <r>
    <s v="katarzysnki lucas"/>
    <n v="17108120"/>
    <n v="12794840"/>
    <n v="4313280"/>
    <n v="0.33711089783068798"/>
    <s v="prov. De motosierras"/>
    <x v="0"/>
    <x v="0"/>
    <x v="0"/>
    <m/>
  </r>
  <r>
    <s v="faytim "/>
    <n v="4490000"/>
    <n v="1790000"/>
    <n v="2700000"/>
    <n v="1.5083798882681565"/>
    <s v="kit de embrague completo"/>
    <x v="0"/>
    <x v="0"/>
    <x v="8"/>
    <m/>
  </r>
  <r>
    <s v="garcia diego"/>
    <n v="890000"/>
    <n v="468000"/>
    <n v="422000"/>
    <n v="0.90170940170940173"/>
    <s v="fumigacion"/>
    <x v="0"/>
    <x v="3"/>
    <x v="9"/>
    <m/>
  </r>
  <r>
    <s v="garcia diego"/>
    <n v="1324000"/>
    <n v="544000"/>
    <n v="780000"/>
    <n v="1.4338235294117647"/>
    <s v="fumigacion"/>
    <x v="0"/>
    <x v="3"/>
    <x v="9"/>
    <m/>
  </r>
  <r>
    <s v="garcia diego"/>
    <n v="1324000"/>
    <n v="544000"/>
    <n v="780000"/>
    <n v="1.4338235294117647"/>
    <s v="fumigacion"/>
    <x v="0"/>
    <x v="3"/>
    <x v="9"/>
    <m/>
  </r>
  <r>
    <s v="fumytan"/>
    <n v="1779840"/>
    <n v="1483200"/>
    <n v="296640"/>
    <n v="0.2"/>
    <s v="fumigacion"/>
    <x v="0"/>
    <x v="3"/>
    <x v="9"/>
    <m/>
  </r>
  <r>
    <s v="fumytan"/>
    <n v="1555200"/>
    <n v="1296000"/>
    <n v="259200"/>
    <n v="0.2"/>
    <s v="fumigacion"/>
    <x v="0"/>
    <x v="3"/>
    <x v="9"/>
    <m/>
  </r>
  <r>
    <s v="fumytan"/>
    <n v="1800230"/>
    <n v="1500192"/>
    <n v="300038"/>
    <n v="0.1999997333674623"/>
    <s v="fumigacion"/>
    <x v="0"/>
    <x v="2"/>
    <x v="1"/>
    <m/>
  </r>
  <r>
    <s v="urquiza diego "/>
    <n v="32572800"/>
    <n v="30944160"/>
    <n v="1628640"/>
    <n v="5.2631578947368418E-2"/>
    <s v="mantenimiento de piletas"/>
    <x v="0"/>
    <x v="3"/>
    <x v="9"/>
    <m/>
  </r>
  <r>
    <s v="cristales mitre s.a."/>
    <n v="2217524"/>
    <n v="1700000"/>
    <n v="517524"/>
    <n v="0.30442588235294116"/>
    <s v="mesada "/>
    <x v="0"/>
    <x v="0"/>
    <x v="0"/>
    <m/>
  </r>
  <r>
    <s v="MARZO                                                                                MARZO"/>
    <m/>
    <m/>
    <m/>
    <m/>
    <m/>
    <x v="1"/>
    <x v="1"/>
    <x v="0"/>
    <m/>
  </r>
  <r>
    <s v="faytim "/>
    <n v="4490000"/>
    <n v="1790000"/>
    <n v="2700000"/>
    <n v="1.5083798882681565"/>
    <s v="kit de embrague completo"/>
    <x v="2"/>
    <x v="3"/>
    <x v="10"/>
    <n v="275379557.13"/>
  </r>
  <r>
    <s v="veron julio marcelo"/>
    <n v="489600"/>
    <n v="465120"/>
    <n v="24480"/>
    <n v="5.2631578947368418E-2"/>
    <s v="lockers metalicos "/>
    <x v="2"/>
    <x v="4"/>
    <x v="11"/>
    <m/>
  </r>
  <r>
    <s v="fiberco "/>
    <n v="10753660.380000001"/>
    <n v="7945451.9400000004"/>
    <n v="2808208.4400000004"/>
    <n v="0.35343596074913775"/>
    <s v="linea y tendido de cable optico "/>
    <x v="2"/>
    <x v="4"/>
    <x v="11"/>
    <m/>
  </r>
  <r>
    <s v="rc redes"/>
    <n v="1369000"/>
    <n v="969000"/>
    <n v="400000"/>
    <n v="0.41279669762641896"/>
    <s v="grupo electrogeno "/>
    <x v="2"/>
    <x v="1"/>
    <x v="0"/>
    <m/>
  </r>
  <r>
    <s v="rumbo maq "/>
    <n v="1831800"/>
    <n v="1612000"/>
    <n v="219800"/>
    <n v="0.13635235732009926"/>
    <s v="deltametrina"/>
    <x v="2"/>
    <x v="0"/>
    <x v="12"/>
    <m/>
  </r>
  <r>
    <s v="carlini javier"/>
    <n v="542000"/>
    <n v="310000"/>
    <n v="232000"/>
    <n v="0.74838709677419357"/>
    <s v="puerta placa "/>
    <x v="2"/>
    <x v="0"/>
    <x v="13"/>
    <m/>
  </r>
  <r>
    <s v="brandan pablo "/>
    <n v="1460000"/>
    <n v="1200000"/>
    <n v="260000"/>
    <n v="0.21666666666666667"/>
    <s v="chalecos reflectivos"/>
    <x v="2"/>
    <x v="6"/>
    <x v="14"/>
    <m/>
  </r>
  <r>
    <s v="fabian julio hugo "/>
    <n v="1450000"/>
    <n v="1188500"/>
    <n v="261500"/>
    <n v="0.22002524190155659"/>
    <s v="mantenimiento de aire acondicionado"/>
    <x v="2"/>
    <x v="3"/>
    <x v="15"/>
    <m/>
  </r>
  <r>
    <s v="pda "/>
    <n v="34754650"/>
    <n v="31279185"/>
    <n v="3475465"/>
    <n v="0.1111111111111111"/>
    <s v="repuestos maquinaria"/>
    <x v="2"/>
    <x v="0"/>
    <x v="0"/>
    <m/>
  </r>
  <r>
    <s v="hierro todo "/>
    <n v="10999700"/>
    <n v="5530600"/>
    <n v="5469100"/>
    <n v="0.98888004918092065"/>
    <s v="chapas"/>
    <x v="2"/>
    <x v="0"/>
    <x v="0"/>
    <m/>
  </r>
  <r>
    <s v="quinteros juan gabriel"/>
    <n v="3255784"/>
    <n v="2548260"/>
    <n v="707524"/>
    <n v="0.27764984734681702"/>
    <s v="libreria"/>
    <x v="2"/>
    <x v="6"/>
    <x v="3"/>
    <m/>
  </r>
  <r>
    <s v="freire anibal"/>
    <n v="4743500"/>
    <n v="3741500"/>
    <n v="1002000"/>
    <n v="0.26780702926633704"/>
    <s v="esmalte, latex, pincel, etc."/>
    <x v="2"/>
    <x v="0"/>
    <x v="16"/>
    <m/>
  </r>
  <r>
    <s v="ward wilmar pablo "/>
    <n v="909840"/>
    <n v="880200"/>
    <n v="29640"/>
    <n v="3.3674164962508524E-2"/>
    <s v="herramientas y kit de jardineria"/>
    <x v="2"/>
    <x v="7"/>
    <x v="0"/>
    <m/>
  </r>
  <r>
    <s v="buitencamp"/>
    <n v="850000"/>
    <n v="764000"/>
    <n v="86000"/>
    <n v="0.112565445026178"/>
    <s v="gazebos"/>
    <x v="2"/>
    <x v="7"/>
    <x v="17"/>
    <m/>
  </r>
  <r>
    <s v="pop construcciones"/>
    <n v="395000"/>
    <n v="355500"/>
    <n v="39500"/>
    <n v="0.1111111111111111"/>
    <s v="ploteo vehicular"/>
    <x v="2"/>
    <x v="8"/>
    <x v="17"/>
    <m/>
  </r>
  <r>
    <s v="veron julio marcelo"/>
    <n v="310680"/>
    <n v="295150"/>
    <n v="15530"/>
    <n v="5.2617313230560729E-2"/>
    <s v="sillon ejecutivo"/>
    <x v="2"/>
    <x v="1"/>
    <x v="0"/>
    <m/>
  </r>
  <r>
    <s v="quinteros juan carlos"/>
    <n v="1603500"/>
    <n v="1467500"/>
    <n v="136000"/>
    <n v="9.2674616695059622E-2"/>
    <s v="cartuchos brother "/>
    <x v="2"/>
    <x v="1"/>
    <x v="0"/>
    <m/>
  </r>
  <r>
    <s v="hierro todo "/>
    <n v="19656900"/>
    <n v="18996850"/>
    <n v="660050"/>
    <n v="3.4745234078281402E-2"/>
    <s v="caños y chapa"/>
    <x v="2"/>
    <x v="1"/>
    <x v="0"/>
    <m/>
  </r>
  <r>
    <s v="techno suppply "/>
    <n v="15500000"/>
    <n v="13175000"/>
    <n v="2325000"/>
    <n v="0.17647058823529413"/>
    <s v="mantenimineto respiradores"/>
    <x v="2"/>
    <x v="4"/>
    <x v="18"/>
    <m/>
  </r>
  <r>
    <s v="imagenes pilar"/>
    <n v="315498967.93000001"/>
    <n v="239101841.47"/>
    <n v="76397126.460000008"/>
    <n v="0.31951709777854437"/>
    <s v="inusmos medicos"/>
    <x v="2"/>
    <x v="4"/>
    <x v="0"/>
    <m/>
  </r>
  <r>
    <s v="lacroix miguel"/>
    <n v="2280000"/>
    <n v="2244000"/>
    <n v="36000"/>
    <n v="1.6042780748663103E-2"/>
    <s v="kit extractor de leche materna"/>
    <x v="2"/>
    <x v="4"/>
    <x v="0"/>
    <m/>
  </r>
  <r>
    <s v="lacroix miguel"/>
    <n v="1130000"/>
    <n v="1085000"/>
    <n v="45000"/>
    <n v="4.1474654377880185E-2"/>
    <s v="extractor de leche materna"/>
    <x v="2"/>
    <x v="4"/>
    <x v="0"/>
    <m/>
  </r>
  <r>
    <s v="pda "/>
    <n v="3664050"/>
    <n v="3480848"/>
    <n v="183202"/>
    <n v="5.2631427744043981E-2"/>
    <s v="amoladora, generador, martillo elec. etc"/>
    <x v="2"/>
    <x v="9"/>
    <x v="0"/>
    <m/>
  </r>
  <r>
    <s v="ucci "/>
    <n v="1944240"/>
    <n v="1396072"/>
    <n v="548168"/>
    <n v="0.39265023580445707"/>
    <s v="productos de limpieza"/>
    <x v="2"/>
    <x v="6"/>
    <x v="19"/>
    <m/>
  </r>
  <r>
    <s v="sturz galdys"/>
    <n v="246900"/>
    <n v="209500"/>
    <n v="37400"/>
    <n v="0.17852028639618139"/>
    <s v="pintureria"/>
    <x v="2"/>
    <x v="9"/>
    <x v="0"/>
    <m/>
  </r>
  <r>
    <s v="veron julio marcelo"/>
    <n v="2632990"/>
    <n v="2203690"/>
    <n v="429300"/>
    <n v="0.19480961478247849"/>
    <s v="sillon ejecutivo"/>
    <x v="2"/>
    <x v="1"/>
    <x v="0"/>
    <m/>
  </r>
  <r>
    <s v="rodriguez eduardo "/>
    <n v="15333038"/>
    <n v="13999900"/>
    <n v="1333138"/>
    <n v="9.5224823034450248E-2"/>
    <s v="bobinas pouch"/>
    <x v="2"/>
    <x v="4"/>
    <x v="0"/>
    <m/>
  </r>
  <r>
    <s v="rodriguez eduardo "/>
    <n v="16587060"/>
    <n v="15797200"/>
    <n v="789860"/>
    <n v="0.05"/>
    <s v="brink verde en bobina"/>
    <x v="2"/>
    <x v="4"/>
    <x v="0"/>
    <m/>
  </r>
  <r>
    <s v="rodriguez eduardo "/>
    <n v="16073050"/>
    <n v="15604890"/>
    <n v="468160"/>
    <n v="3.0000852296940255E-2"/>
    <s v="sabanas confeccionadas"/>
    <x v="2"/>
    <x v="4"/>
    <x v="0"/>
    <m/>
  </r>
  <r>
    <s v="rodriguez eduardo "/>
    <n v="15066608"/>
    <n v="13860100"/>
    <n v="1206508"/>
    <n v="8.7049011190395445E-2"/>
    <s v="cintas testigo, test pack, ind biol"/>
    <x v="2"/>
    <x v="4"/>
    <x v="0"/>
    <m/>
  </r>
  <r>
    <s v="techno supply"/>
    <n v="1435300"/>
    <n v="1146080"/>
    <n v="289220"/>
    <n v="0.25235585648471309"/>
    <s v="reparacion de equipo de quirofano"/>
    <x v="2"/>
    <x v="4"/>
    <x v="0"/>
    <m/>
  </r>
  <r>
    <s v="veron julieta"/>
    <n v="3800000"/>
    <n v="890000"/>
    <n v="2910000"/>
    <n v="3.2696629213483148"/>
    <s v="alquiler de pantalla y sonido"/>
    <x v="2"/>
    <x v="5"/>
    <x v="0"/>
    <m/>
  </r>
  <r>
    <s v="faytim "/>
    <n v="4490000"/>
    <n v="1790000"/>
    <n v="2700000"/>
    <n v="1.5083798882681565"/>
    <s v="kit de embrague completo"/>
    <x v="2"/>
    <x v="6"/>
    <x v="10"/>
    <m/>
  </r>
  <r>
    <s v="faytim "/>
    <n v="4490000"/>
    <n v="1790000"/>
    <n v="2700000"/>
    <n v="1.5083798882681565"/>
    <s v="kit de embrague completo"/>
    <x v="2"/>
    <x v="6"/>
    <x v="10"/>
    <m/>
  </r>
  <r>
    <s v="faytim "/>
    <n v="4490000"/>
    <n v="1790000"/>
    <n v="2700000"/>
    <n v="1.5083798882681565"/>
    <s v="kit de embrague completo"/>
    <x v="2"/>
    <x v="6"/>
    <x v="10"/>
    <m/>
  </r>
  <r>
    <s v="hierro todo "/>
    <n v="120996.7"/>
    <n v="55306"/>
    <n v="65690.7"/>
    <n v="1.1877680540990128"/>
    <s v="chapas cincalum n°27 x unidad"/>
    <x v="2"/>
    <x v="6"/>
    <x v="0"/>
    <m/>
  </r>
  <r>
    <s v="dedalus"/>
    <n v="8400000"/>
    <n v="7560000"/>
    <n v="840000"/>
    <n v="0.1111111111111111"/>
    <s v="servicio de mantenimiento"/>
    <x v="2"/>
    <x v="4"/>
    <x v="0"/>
    <m/>
  </r>
  <r>
    <s v="hernan gabriel ramon"/>
    <n v="870000"/>
    <n v="780000"/>
    <n v="90000"/>
    <n v="0.11538461538461539"/>
    <s v="mantenimineto odontologicos"/>
    <x v="2"/>
    <x v="4"/>
    <x v="0"/>
    <m/>
  </r>
  <r>
    <s v="catalini analia(vital life)"/>
    <n v="73111000"/>
    <n v="58779000"/>
    <n v="14332000"/>
    <n v="0.24382857823372292"/>
    <s v="guia de bombas de infusion, jeringas, etc"/>
    <x v="2"/>
    <x v="4"/>
    <x v="0"/>
    <m/>
  </r>
  <r>
    <s v="pda "/>
    <n v="1199950"/>
    <n v="1079970"/>
    <n v="119980"/>
    <n v="0.11109567858366436"/>
    <s v="aceite y cadenas"/>
    <x v="2"/>
    <x v="6"/>
    <x v="20"/>
    <m/>
  </r>
  <r>
    <s v="cristales mitre"/>
    <n v="6026702"/>
    <n v="5478821"/>
    <n v="547881"/>
    <n v="9.9999799226877462E-2"/>
    <s v="reparaciones de movil N°044 ID N°21181"/>
    <x v="2"/>
    <x v="9"/>
    <x v="21"/>
    <m/>
  </r>
  <r>
    <s v="suppa / ato group"/>
    <n v="1292300"/>
    <n v="567400"/>
    <n v="724900"/>
    <n v="1.2775819527670074"/>
    <s v="art. de bazar apertura jardin 931"/>
    <x v="2"/>
    <x v="6"/>
    <x v="0"/>
    <m/>
  </r>
  <r>
    <s v="presupuesto oficial"/>
    <n v="9918893.25"/>
    <n v="7988301.2999999998"/>
    <n v="1930591.9500000002"/>
    <n v="0.2416774076861623"/>
    <s v="repuestos para moviles"/>
    <x v="2"/>
    <x v="7"/>
    <x v="22"/>
    <m/>
  </r>
  <r>
    <s v="cristales mitre"/>
    <n v="244800"/>
    <n v="230400"/>
    <n v="14400"/>
    <n v="6.25E-2"/>
    <s v="kit tensor rodillo y correa int 182"/>
    <x v="2"/>
    <x v="7"/>
    <x v="22"/>
    <m/>
  </r>
  <r>
    <s v="cristales mitre"/>
    <n v="674448"/>
    <n v="632295"/>
    <n v="42153"/>
    <n v="6.6666666666666666E-2"/>
    <s v="tensor, correa y kit rotor, bobina, regulador int 93"/>
    <x v="2"/>
    <x v="7"/>
    <x v="22"/>
    <m/>
  </r>
  <r>
    <s v="cristales mitre"/>
    <n v="333028"/>
    <n v="314525"/>
    <n v="18503"/>
    <n v="5.8828392019712267E-2"/>
    <s v="tensor, correa y kit rotor, bobina, regulador int 228"/>
    <x v="2"/>
    <x v="7"/>
    <x v="22"/>
    <m/>
  </r>
  <r>
    <s v="cristales mitre"/>
    <n v="787272"/>
    <n v="740695"/>
    <n v="46577"/>
    <n v="6.2882833014938674E-2"/>
    <s v="juego de amortiguadores, espejo, kit campana, cintas de freno, juego de cilindros de freno, kit de clavos y sortes p/regulador int 94"/>
    <x v="2"/>
    <x v="7"/>
    <x v="22"/>
    <m/>
  </r>
  <r>
    <s v="marano miguel"/>
    <n v="93186"/>
    <n v="83867"/>
    <n v="9319"/>
    <n v="0.11111641050711245"/>
    <s v="filtro hidraulico legitimo int 51"/>
    <x v="2"/>
    <x v="7"/>
    <x v="22"/>
    <m/>
  </r>
  <r>
    <s v="fiberco"/>
    <n v="3446353.03"/>
    <n v="3124866.4"/>
    <n v="321486.62999999989"/>
    <n v="0.10288011993088725"/>
    <s v="vinculo fo polo sanitario "/>
    <x v="2"/>
    <x v="10"/>
    <x v="23"/>
    <m/>
  </r>
  <r>
    <s v="fiberco"/>
    <n v="982248.71"/>
    <n v="892953.38"/>
    <n v="89295.329999999958"/>
    <n v="9.9999991040965602E-2"/>
    <s v="vinculo fo posta policial las acacias y remedios de escalada de san martin"/>
    <x v="2"/>
    <x v="10"/>
    <x v="24"/>
    <m/>
  </r>
  <r>
    <s v="fiberco"/>
    <n v="1048977.78"/>
    <n v="944080.01"/>
    <n v="104897.77000000002"/>
    <n v="0.11111110169571328"/>
    <s v="vinculo fo gendarmeria"/>
    <x v="2"/>
    <x v="10"/>
    <x v="24"/>
    <m/>
  </r>
  <r>
    <s v="fiberco"/>
    <n v="651137.75"/>
    <n v="591943.41"/>
    <n v="59194.339999999967"/>
    <n v="9.9999998310649263E-2"/>
    <s v="vinculo fo logistica batallon"/>
    <x v="2"/>
    <x v="10"/>
    <x v="24"/>
    <m/>
  </r>
  <r>
    <s v="veron / costa claudio"/>
    <n v="790000"/>
    <n v="85500"/>
    <n v="704500"/>
    <n v="8.2397660818713447"/>
    <s v="inauguracion jardin 931"/>
    <x v="2"/>
    <x v="6"/>
    <x v="24"/>
    <m/>
  </r>
  <r>
    <s v="vital life"/>
    <n v="110903166"/>
    <n v="97884522.569999993"/>
    <n v="13018643.430000007"/>
    <n v="0.13300001969861994"/>
    <s v="insumos medicos "/>
    <x v="2"/>
    <x v="4"/>
    <x v="0"/>
    <m/>
  </r>
  <r>
    <s v="pda"/>
    <n v="2428089.7999999998"/>
    <n v="2320000"/>
    <n v="108089.79999999981"/>
    <n v="4.6590431034482675E-2"/>
    <s v="cepillo lavado, disco de arrastre, paño 20&quot;, kit secador"/>
    <x v="2"/>
    <x v="4"/>
    <x v="0"/>
    <m/>
  </r>
  <r>
    <s v="martin jazahal"/>
    <n v="11729190"/>
    <n v="10564290"/>
    <n v="1164900"/>
    <n v="0.11026770374535345"/>
    <s v="inudmentaria"/>
    <x v="2"/>
    <x v="11"/>
    <x v="12"/>
    <m/>
  </r>
  <r>
    <s v="buitencamp"/>
    <n v="450000"/>
    <n v="395000"/>
    <n v="55000"/>
    <n v="0.13924050632911392"/>
    <s v="carpetas oficio blancas con logo municipal"/>
    <x v="2"/>
    <x v="11"/>
    <x v="0"/>
    <m/>
  </r>
  <r>
    <s v="quinteros juan carlos"/>
    <n v="616390"/>
    <n v="573125"/>
    <n v="43265"/>
    <n v="7.5489640130861499E-2"/>
    <s v="libreria"/>
    <x v="2"/>
    <x v="0"/>
    <x v="25"/>
    <m/>
  </r>
  <r>
    <s v="quinteros"/>
    <n v="813579451"/>
    <n v="693874961"/>
    <n v="119704490"/>
    <n v="0.17251593835794862"/>
    <s v="licitacion publica libreria "/>
    <x v="2"/>
    <x v="1"/>
    <x v="0"/>
    <m/>
  </r>
  <r>
    <s v="pda "/>
    <n v="2227850"/>
    <n v="2007150"/>
    <n v="220700"/>
    <n v="0.10995690406795705"/>
    <s v="veneno para fumigacion"/>
    <x v="2"/>
    <x v="11"/>
    <x v="12"/>
    <m/>
  </r>
  <r>
    <s v="rpm"/>
    <n v="986620"/>
    <n v="937289"/>
    <n v="49331"/>
    <n v="5.2631578947368418E-2"/>
    <s v="reparacion compresor camion ford"/>
    <x v="2"/>
    <x v="0"/>
    <x v="22"/>
    <m/>
  </r>
  <r>
    <s v="munguia"/>
    <n v="1526540"/>
    <n v="1450180"/>
    <n v="76360"/>
    <n v="5.2655532416665519E-2"/>
    <s v="gabinete metalica, termica, disyuntor, cable canal, etc"/>
    <x v="2"/>
    <x v="0"/>
    <x v="26"/>
    <m/>
  </r>
  <r>
    <s v="munguia"/>
    <n v="3975100"/>
    <n v="3565035.81"/>
    <n v="410064.18999999994"/>
    <n v="0.11502386283182943"/>
    <s v="pintura, lijas, rodillos, etc."/>
    <x v="2"/>
    <x v="9"/>
    <x v="0"/>
    <m/>
  </r>
  <r>
    <s v="cristales mitre"/>
    <n v="295596"/>
    <n v="266036"/>
    <n v="29560"/>
    <n v="0.11111278172878858"/>
    <s v="kit embrague"/>
    <x v="2"/>
    <x v="4"/>
    <x v="27"/>
    <m/>
  </r>
  <r>
    <s v="cristales mitre"/>
    <n v="139520"/>
    <n v="125568"/>
    <n v="13952"/>
    <n v="0.1111111111111111"/>
    <s v="reparacion de luces, cerradura y forzador "/>
    <x v="2"/>
    <x v="4"/>
    <x v="22"/>
    <m/>
  </r>
  <r>
    <s v="cristales mitre"/>
    <n v="160000"/>
    <n v="144000"/>
    <n v="16000"/>
    <n v="0.1111111111111111"/>
    <s v="reparacion sistema electrico"/>
    <x v="2"/>
    <x v="4"/>
    <x v="22"/>
    <m/>
  </r>
  <r>
    <s v="cristales mitre"/>
    <n v="416000"/>
    <n v="374400"/>
    <n v="41600"/>
    <n v="0.1111111111111111"/>
    <s v="reparacion de cañerias"/>
    <x v="2"/>
    <x v="4"/>
    <x v="22"/>
    <m/>
  </r>
  <r>
    <s v="cristales mitre"/>
    <n v="464000"/>
    <n v="417600"/>
    <n v="46400"/>
    <n v="0.1111111111111111"/>
    <s v="reparacion caño de baja y manguera"/>
    <x v="2"/>
    <x v="4"/>
    <x v="22"/>
    <m/>
  </r>
  <r>
    <s v="cristales mitre"/>
    <n v="240000"/>
    <n v="216000"/>
    <n v="24000"/>
    <n v="0.1111111111111111"/>
    <s v="reparacion forzador "/>
    <x v="2"/>
    <x v="4"/>
    <x v="22"/>
    <m/>
  </r>
  <r>
    <s v="cristales mitre"/>
    <n v="302210"/>
    <n v="271990"/>
    <n v="30220"/>
    <n v="0.11110702599360271"/>
    <s v="reparacion kit de embrague"/>
    <x v="2"/>
    <x v="4"/>
    <x v="22"/>
    <m/>
  </r>
  <r>
    <s v="cristales mitre"/>
    <n v="1581048"/>
    <n v="1422944"/>
    <n v="158104"/>
    <n v="0.11111048642813771"/>
    <s v="repuestos para interno 212 "/>
    <x v="2"/>
    <x v="0"/>
    <x v="28"/>
    <m/>
  </r>
  <r>
    <s v="pda "/>
    <n v="5048850"/>
    <n v="4543950"/>
    <n v="504900"/>
    <n v="0.1111147789918463"/>
    <s v="amoladora, taladro, llave de impacto, etc"/>
    <x v="2"/>
    <x v="9"/>
    <x v="0"/>
    <m/>
  </r>
  <r>
    <s v="fabian julio hugo "/>
    <n v="3680000"/>
    <n v="3180000"/>
    <n v="500000"/>
    <n v="0.15723270440251572"/>
    <s v="reparacion cilindro vibrador "/>
    <x v="2"/>
    <x v="0"/>
    <x v="29"/>
    <m/>
  </r>
  <r>
    <s v="cristales mitre"/>
    <n v="266448"/>
    <n v="250776"/>
    <n v="15672"/>
    <n v="6.2494018566369991E-2"/>
    <s v="rollos de membrana"/>
    <x v="2"/>
    <x v="0"/>
    <x v="22"/>
    <m/>
  </r>
  <r>
    <s v="gutierrez andrea soledad"/>
    <n v="2315745.46"/>
    <n v="2130471"/>
    <n v="185274.45999999996"/>
    <n v="8.6964084467706884E-2"/>
    <s v="filtros de aceite "/>
    <x v="2"/>
    <x v="0"/>
    <x v="22"/>
    <m/>
  </r>
  <r>
    <s v="rectificacion dene "/>
    <n v="867740"/>
    <n v="780966"/>
    <n v="86774"/>
    <n v="0.1111111111111111"/>
    <s v="reparacion valvula reguladora int 342"/>
    <x v="2"/>
    <x v="0"/>
    <x v="22"/>
    <m/>
  </r>
  <r>
    <s v="rectificacion dene "/>
    <n v="1795000"/>
    <n v="1705250"/>
    <n v="89750"/>
    <n v="5.2631578947368418E-2"/>
    <s v="reparacion carcaza de dsitribucion de motor int 166"/>
    <x v="2"/>
    <x v="0"/>
    <x v="22"/>
    <m/>
  </r>
  <r>
    <s v="chirugia"/>
    <n v="2646886"/>
    <n v="2514536"/>
    <n v="132350"/>
    <n v="5.2633965073476778E-2"/>
    <s v="alquiler equipo aspirador ultrasonico "/>
    <x v="2"/>
    <x v="4"/>
    <x v="22"/>
    <m/>
  </r>
  <r>
    <s v="auditech"/>
    <n v="39232613.600000001"/>
    <n v="34524699.969999999"/>
    <n v="4707913.6300000027"/>
    <n v="0.13636363629780743"/>
    <s v="reparacion UPS datacenter municipal"/>
    <x v="2"/>
    <x v="10"/>
    <x v="23"/>
    <m/>
  </r>
  <r>
    <s v="rotela diego"/>
    <n v="676000"/>
    <n v="610200"/>
    <n v="65800"/>
    <n v="0.10783349721402818"/>
    <s v="reparaicon bomba de agua int 233"/>
    <x v="2"/>
    <x v="0"/>
    <x v="22"/>
    <m/>
  </r>
  <r>
    <s v="rotela diego"/>
    <n v="933000"/>
    <n v="849700"/>
    <n v="83300"/>
    <n v="9.8034600447216666E-2"/>
    <s v="reparacion hidroelevador bl10 int 15"/>
    <x v="2"/>
    <x v="0"/>
    <x v="22"/>
    <m/>
  </r>
  <r>
    <s v="cristales mitre"/>
    <n v="615230"/>
    <n v="597135"/>
    <n v="18095"/>
    <n v="3.0303030303030304E-2"/>
    <s v="respuestos de direccion int 210"/>
    <x v="2"/>
    <x v="0"/>
    <x v="22"/>
    <m/>
  </r>
  <r>
    <s v="cristales mitre"/>
    <n v="615230"/>
    <n v="597135"/>
    <n v="18095"/>
    <n v="3.0303030303030304E-2"/>
    <s v="respuestos de direccion int 230"/>
    <x v="2"/>
    <x v="0"/>
    <x v="22"/>
    <m/>
  </r>
  <r>
    <s v="cristales mitre"/>
    <n v="957308"/>
    <n v="930336"/>
    <n v="26972"/>
    <n v="2.8991676125614832E-2"/>
    <s v="opticas, fusibles, lamparas int 284"/>
    <x v="2"/>
    <x v="0"/>
    <x v="22"/>
    <m/>
  </r>
  <r>
    <s v="cristales mitre"/>
    <n v="1431964"/>
    <n v="1384232"/>
    <n v="47732"/>
    <n v="3.4482658976240976E-2"/>
    <s v="bieletas, amortiguadores y brazo extremo int 120"/>
    <x v="2"/>
    <x v="0"/>
    <x v="22"/>
    <m/>
  </r>
  <r>
    <s v="ABRIL                                                                                ABRIL"/>
    <m/>
    <m/>
    <m/>
    <m/>
    <m/>
    <x v="1"/>
    <x v="1"/>
    <x v="0"/>
    <m/>
  </r>
  <r>
    <s v="munguia"/>
    <n v="1169520"/>
    <n v="1060400"/>
    <n v="109120"/>
    <n v="0.10290456431535269"/>
    <s v="bomba sumergible, materiales y mano de obra"/>
    <x v="3"/>
    <x v="6"/>
    <x v="9"/>
    <n v="16159504.92"/>
  </r>
  <r>
    <s v="veron"/>
    <n v="990320"/>
    <n v="920997"/>
    <n v="69323"/>
    <n v="7.5269517707440961E-2"/>
    <s v="switch 48 puerto TP-Link"/>
    <x v="3"/>
    <x v="4"/>
    <x v="0"/>
    <m/>
  </r>
  <r>
    <s v="veron"/>
    <n v="5741680"/>
    <n v="5339836"/>
    <n v="401844"/>
    <n v="7.5253996564688508E-2"/>
    <s v="materiales didacticos cdi"/>
    <x v="3"/>
    <x v="6"/>
    <x v="30"/>
    <m/>
  </r>
  <r>
    <s v="veron"/>
    <n v="7995030"/>
    <n v="3503880"/>
    <n v="4491150"/>
    <n v="1.2817647864652899"/>
    <s v="insumos informaticos"/>
    <x v="3"/>
    <x v="4"/>
    <x v="0"/>
    <m/>
  </r>
  <r>
    <s v="nuñez natalia"/>
    <n v="305934"/>
    <n v="284393"/>
    <n v="21541"/>
    <n v="7.5743777097185938E-2"/>
    <s v="insumos de ferreteria"/>
    <x v="3"/>
    <x v="0"/>
    <x v="31"/>
    <m/>
  </r>
  <r>
    <s v="cristales mitre"/>
    <n v="1032120"/>
    <n v="990000"/>
    <n v="42120"/>
    <n v="4.2545454545454546E-2"/>
    <s v="repuestos int 94"/>
    <x v="3"/>
    <x v="0"/>
    <x v="0"/>
    <m/>
  </r>
  <r>
    <s v="hierro todo"/>
    <n v="10921255"/>
    <n v="8465245"/>
    <n v="2456010"/>
    <n v="0.29012863774173103"/>
    <s v="chapa cincalum nº 27 canaleta x 5,18 mts."/>
    <x v="3"/>
    <x v="0"/>
    <x v="32"/>
    <m/>
  </r>
  <r>
    <s v="veron"/>
    <n v="2458660"/>
    <n v="2311140"/>
    <n v="147520"/>
    <n v="6.382997135612728E-2"/>
    <s v="insumos informaticos"/>
    <x v="3"/>
    <x v="12"/>
    <x v="24"/>
    <m/>
  </r>
  <r>
    <s v="rectificacion dene "/>
    <n v="1420000"/>
    <n v="1349000"/>
    <n v="71000"/>
    <n v="5.2631578947368418E-2"/>
    <s v="reparacion y respuestos int 31"/>
    <x v="3"/>
    <x v="13"/>
    <x v="22"/>
    <m/>
  </r>
  <r>
    <s v="carlini javier"/>
    <n v="2376400"/>
    <n v="2186288"/>
    <n v="190112"/>
    <n v="8.6956521739130432E-2"/>
    <s v="tabique divisorio"/>
    <x v="3"/>
    <x v="6"/>
    <x v="33"/>
    <m/>
  </r>
  <r>
    <s v="mangini ulises"/>
    <n v="2595000"/>
    <n v="2298000"/>
    <n v="297000"/>
    <n v="0.12924281984334204"/>
    <s v="fumigacion plantas de tratamineto "/>
    <x v="3"/>
    <x v="14"/>
    <x v="34"/>
    <m/>
  </r>
  <r>
    <s v="nuñez natalia"/>
    <n v="498561"/>
    <n v="468760"/>
    <n v="29801"/>
    <n v="6.3574110418977731E-2"/>
    <s v="plafon, canilla, fichas y lampara"/>
    <x v="3"/>
    <x v="6"/>
    <x v="9"/>
    <m/>
  </r>
  <r>
    <s v="cristales mitre"/>
    <n v="937393"/>
    <n v="824906"/>
    <n v="112487"/>
    <n v="0.13636341595284796"/>
    <s v="reparacion compresor int 98"/>
    <x v="3"/>
    <x v="11"/>
    <x v="27"/>
    <m/>
  </r>
  <r>
    <s v="cristales mitre"/>
    <n v="445184"/>
    <n v="415428"/>
    <n v="29756"/>
    <n v="7.1627333737735541E-2"/>
    <s v="reparacion de moviles "/>
    <x v="3"/>
    <x v="4"/>
    <x v="35"/>
    <m/>
  </r>
  <r>
    <s v="universo dep"/>
    <n v="870000"/>
    <n v="783000"/>
    <n v="87000"/>
    <n v="0.1111111111111111"/>
    <s v="medallas "/>
    <x v="3"/>
    <x v="6"/>
    <x v="36"/>
    <m/>
  </r>
  <r>
    <s v="Mecanica Leo Llanos "/>
    <n v="278000"/>
    <n v="253000"/>
    <n v="25000"/>
    <n v="9.8814229249011856E-2"/>
    <s v="MdeO reparaciones de moviles "/>
    <x v="3"/>
    <x v="4"/>
    <x v="35"/>
    <m/>
  </r>
  <r>
    <s v="juan gabriel"/>
    <n v="1250228"/>
    <n v="1225318.5"/>
    <n v="24909.5"/>
    <n v="2.032900017424041E-2"/>
    <s v="insumos de libreria CDI Sordeuax y GB"/>
    <x v="3"/>
    <x v="6"/>
    <x v="30"/>
    <m/>
  </r>
  <r>
    <s v="munguia"/>
    <n v="390000"/>
    <n v="351000"/>
    <n v="39000"/>
    <n v="0.1111111111111111"/>
    <s v="bomba sumergible, materiales y mano de obra"/>
    <x v="3"/>
    <x v="0"/>
    <x v="37"/>
    <m/>
  </r>
  <r>
    <s v="veron"/>
    <n v="734740"/>
    <n v="698070"/>
    <n v="36670"/>
    <n v="5.2530548512326844E-2"/>
    <s v="microfonos, cables y pie"/>
    <x v="3"/>
    <x v="6"/>
    <x v="38"/>
    <m/>
  </r>
  <r>
    <s v="papelandia "/>
    <n v="6837000"/>
    <n v="6290040"/>
    <n v="546960"/>
    <n v="8.6956521739130432E-2"/>
    <s v="Reparaciones Ford F-4000 Int 111"/>
    <x v="3"/>
    <x v="0"/>
    <x v="39"/>
    <m/>
  </r>
  <r>
    <s v="ibarra luis ramon"/>
    <n v="1053000"/>
    <n v="947700"/>
    <n v="105300"/>
    <n v="0.1111111111111111"/>
    <s v="reparacion int 447"/>
    <x v="3"/>
    <x v="6"/>
    <x v="40"/>
    <m/>
  </r>
  <r>
    <s v="ibarra luis ramon"/>
    <n v="522900"/>
    <n v="469800"/>
    <n v="53100"/>
    <n v="0.11302681992337164"/>
    <s v="reparacion int 421"/>
    <x v="3"/>
    <x v="6"/>
    <x v="40"/>
    <m/>
  </r>
  <r>
    <s v="cristales mitre"/>
    <n v="2418926"/>
    <n v="2309222"/>
    <n v="109704"/>
    <n v="4.7506909253419549E-2"/>
    <s v="repuestos y mano de obra int 180"/>
    <x v="3"/>
    <x v="0"/>
    <x v="22"/>
    <m/>
  </r>
  <r>
    <s v="veron"/>
    <n v="6762000"/>
    <n v="6212100"/>
    <n v="549900"/>
    <n v="8.8520790070990493E-2"/>
    <s v="pc y monitor"/>
    <x v="3"/>
    <x v="4"/>
    <x v="0"/>
    <m/>
  </r>
  <r>
    <s v="sosa Ezequiel "/>
    <n v="1611652.46"/>
    <n v="1532897.2"/>
    <n v="78755.260000000009"/>
    <n v="5.1376739418664219E-2"/>
    <s v="mat para reparaciones en instalacion sanitaria "/>
    <x v="3"/>
    <x v="15"/>
    <x v="41"/>
    <m/>
  </r>
  <r>
    <s v="RC Redes"/>
    <n v="9873600"/>
    <n v="9379920"/>
    <n v="493680"/>
    <n v="5.2631578947368418E-2"/>
    <s v="instalacion electrica en edificio de gendarmeria "/>
    <x v="3"/>
    <x v="14"/>
    <x v="34"/>
    <m/>
  </r>
  <r>
    <s v="schwartz"/>
    <n v="758617.12"/>
    <n v="655355.37"/>
    <n v="103261.75"/>
    <n v="0.15756603932306223"/>
    <s v="kits de sommelier "/>
    <x v="3"/>
    <x v="6"/>
    <x v="42"/>
    <m/>
  </r>
  <r>
    <s v="veron"/>
    <n v="232520"/>
    <n v="209268"/>
    <n v="23252"/>
    <n v="0.1111111111111111"/>
    <s v="reparacion PC CDI "/>
    <x v="3"/>
    <x v="6"/>
    <x v="42"/>
    <m/>
  </r>
  <r>
    <s v="nuñez natalia"/>
    <n v="1488659.58"/>
    <n v="1399178"/>
    <n v="89481.580000000075"/>
    <n v="6.3952963811609448E-2"/>
    <s v="insumos de plomeria "/>
    <x v="3"/>
    <x v="14"/>
    <x v="34"/>
    <m/>
  </r>
  <r>
    <s v="faytim"/>
    <n v="1289430"/>
    <n v="1206140"/>
    <n v="83290"/>
    <n v="6.9055001906909649E-2"/>
    <s v="repuestos int 140"/>
    <x v="3"/>
    <x v="0"/>
    <x v="28"/>
    <m/>
  </r>
  <r>
    <s v="cristales mitre"/>
    <n v="4958344"/>
    <n v="4710762"/>
    <n v="247582"/>
    <n v="5.2556677667010138E-2"/>
    <s v="repuesto y mano de obra int 109"/>
    <x v="3"/>
    <x v="6"/>
    <x v="8"/>
    <m/>
  </r>
  <r>
    <s v="cristales mitre"/>
    <n v="3891200"/>
    <n v="3672200"/>
    <n v="219000"/>
    <n v="5.9637274658243013E-2"/>
    <s v="repuesto y mano de obra int 108"/>
    <x v="3"/>
    <x v="6"/>
    <x v="8"/>
    <m/>
  </r>
  <r>
    <s v="nuñez natalia"/>
    <n v="1488659.58"/>
    <n v="1399178"/>
    <n v="89481.580000000075"/>
    <n v="6.3952963811609448E-2"/>
    <s v="materiales para instalacion cloacal"/>
    <x v="3"/>
    <x v="14"/>
    <x v="34"/>
    <m/>
  </r>
  <r>
    <s v="rumbomaq"/>
    <n v="18399726.25"/>
    <n v="13748833"/>
    <n v="4650893.25"/>
    <n v="0.33827549218177283"/>
    <s v="materiales durios"/>
    <x v="3"/>
    <x v="0"/>
    <x v="28"/>
    <m/>
  </r>
  <r>
    <s v="carlini "/>
    <n v="345000"/>
    <n v="310500"/>
    <n v="34500"/>
    <n v="0.1111111111111111"/>
    <s v="freno hidraulico puerta principal"/>
    <x v="3"/>
    <x v="4"/>
    <x v="43"/>
    <m/>
  </r>
  <r>
    <s v=" MAYO                                                                                             MAYO"/>
    <m/>
    <m/>
    <m/>
    <m/>
    <m/>
    <x v="1"/>
    <x v="1"/>
    <x v="0"/>
    <m/>
  </r>
  <r>
    <s v="papelandia "/>
    <n v="2440772"/>
    <n v="2325772"/>
    <n v="115000"/>
    <n v="4.9445947410150265E-2"/>
    <s v="Insumos de computacion "/>
    <x v="4"/>
    <x v="1"/>
    <x v="44"/>
    <n v="31699128.089999996"/>
  </r>
  <r>
    <s v="il vero oriente "/>
    <n v="690300"/>
    <n v="654200"/>
    <n v="36100"/>
    <n v="5.518190155915622E-2"/>
    <s v="inusmos cafeteria"/>
    <x v="4"/>
    <x v="5"/>
    <x v="45"/>
    <m/>
  </r>
  <r>
    <s v="Oscherov j "/>
    <n v="2475000"/>
    <n v="2320000"/>
    <n v="155000"/>
    <n v="6.6810344827586202E-2"/>
    <s v="Pantalones de trabajo "/>
    <x v="4"/>
    <x v="16"/>
    <x v="46"/>
    <m/>
  </r>
  <r>
    <s v="jazhal"/>
    <n v="2764600"/>
    <n v="2299200"/>
    <n v="465400"/>
    <n v="0.20241823242867085"/>
    <s v="indumentaria bromatologia "/>
    <x v="4"/>
    <x v="16"/>
    <x v="47"/>
    <m/>
  </r>
  <r>
    <s v="scasso"/>
    <n v="15210000"/>
    <n v="11300000"/>
    <n v="3910000"/>
    <n v="0.34601769911504426"/>
    <s v="evento plaza mailin"/>
    <x v="4"/>
    <x v="3"/>
    <x v="48"/>
    <m/>
  </r>
  <r>
    <s v="cristales mitre"/>
    <n v="6026702"/>
    <n v="5226702"/>
    <n v="800000"/>
    <n v="0.15306018977167629"/>
    <s v="reparacion int 44"/>
    <x v="4"/>
    <x v="15"/>
    <x v="49"/>
    <m/>
  </r>
  <r>
    <s v="critales mitre"/>
    <n v="559200"/>
    <n v="518340"/>
    <n v="40860"/>
    <n v="7.8828568121310338E-2"/>
    <s v="reparacion int 05"/>
    <x v="4"/>
    <x v="4"/>
    <x v="0"/>
    <m/>
  </r>
  <r>
    <s v="juan ignacio frutos"/>
    <n v="1078000"/>
    <n v="998000"/>
    <n v="80000"/>
    <n v="8.0160320641282562E-2"/>
    <s v="reparacion int 375"/>
    <x v="4"/>
    <x v="6"/>
    <x v="50"/>
    <m/>
  </r>
  <r>
    <s v="juan ignacio frutos"/>
    <n v="1078000"/>
    <n v="998000"/>
    <n v="80000"/>
    <n v="8.0160320641282562E-2"/>
    <s v="reparacion int 374"/>
    <x v="4"/>
    <x v="6"/>
    <x v="50"/>
    <m/>
  </r>
  <r>
    <s v="techno supply "/>
    <n v="108400000"/>
    <n v="98800000"/>
    <n v="9600000"/>
    <n v="9.7165991902834009E-2"/>
    <s v="remmplazo tendido red de gases"/>
    <x v="4"/>
    <x v="4"/>
    <x v="0"/>
    <m/>
  </r>
  <r>
    <s v="techno supply "/>
    <n v="50500000"/>
    <n v="47190000"/>
    <n v="3310000"/>
    <n v="7.0141979232888327E-2"/>
    <s v="reacondicionamiento sala de maquinas"/>
    <x v="4"/>
    <x v="4"/>
    <x v="51"/>
    <m/>
  </r>
  <r>
    <s v="rotela diego"/>
    <n v="1545900"/>
    <n v="1405200"/>
    <n v="140700"/>
    <n v="0.10012809564474807"/>
    <s v="Mantenimiento planta de hormigon ID 75040"/>
    <x v="4"/>
    <x v="0"/>
    <x v="52"/>
    <m/>
  </r>
  <r>
    <s v="rotela diego"/>
    <n v="2253600"/>
    <n v="2146300"/>
    <n v="107300"/>
    <n v="4.9993011228626011E-2"/>
    <s v="Mantenimiento planta de hormigon ID 75040"/>
    <x v="4"/>
    <x v="0"/>
    <x v="52"/>
    <m/>
  </r>
  <r>
    <s v="rotela diego"/>
    <n v="1589700"/>
    <n v="1514000"/>
    <n v="75700"/>
    <n v="0.05"/>
    <s v="Mantenimiento planta de hormigon ID 75040"/>
    <x v="4"/>
    <x v="0"/>
    <x v="52"/>
    <m/>
  </r>
  <r>
    <s v="rotela diego"/>
    <n v="5987500"/>
    <n v="5702000"/>
    <n v="285500"/>
    <n v="5.0070150824272186E-2"/>
    <s v="Mantenimiento planta de hormigon ID 75040"/>
    <x v="4"/>
    <x v="0"/>
    <x v="52"/>
    <m/>
  </r>
  <r>
    <s v="grafica ramli"/>
    <n v="550000"/>
    <n v="445500"/>
    <n v="104500"/>
    <n v="0.23456790123456789"/>
    <s v="ploteo int 441"/>
    <x v="4"/>
    <x v="6"/>
    <x v="53"/>
    <m/>
  </r>
  <r>
    <s v="ecociudad"/>
    <n v="502950"/>
    <n v="452655"/>
    <n v="50295"/>
    <n v="0.1111111111111111"/>
    <s v="contenedores evento mailin"/>
    <x v="4"/>
    <x v="0"/>
    <x v="0"/>
    <m/>
  </r>
  <r>
    <s v="wilmar ward"/>
    <n v="2112605"/>
    <n v="1795714.25"/>
    <n v="316890.75"/>
    <n v="0.17647058823529413"/>
    <s v="Elementos de jardineria "/>
    <x v="4"/>
    <x v="17"/>
    <x v="0"/>
    <m/>
  </r>
  <r>
    <s v="cristales mitre"/>
    <n v="1039590"/>
    <n v="943392"/>
    <n v="96198"/>
    <n v="0.10197033682710899"/>
    <s v="reparacion int 219"/>
    <x v="4"/>
    <x v="17"/>
    <x v="52"/>
    <m/>
  </r>
  <r>
    <s v="pda "/>
    <n v="2123150"/>
    <n v="1886018"/>
    <n v="237132"/>
    <n v="0.12573156777931069"/>
    <s v="taladro y generador"/>
    <x v="4"/>
    <x v="14"/>
    <x v="0"/>
    <m/>
  </r>
  <r>
    <s v="Ato group "/>
    <n v="3182240"/>
    <n v="2058500"/>
    <n v="1123740"/>
    <n v="0.54590235608452753"/>
    <s v="Transito y translado de equinos "/>
    <x v="4"/>
    <x v="18"/>
    <x v="54"/>
    <m/>
  </r>
  <r>
    <s v="juan carlos "/>
    <n v="1501500"/>
    <n v="1407250"/>
    <n v="94250"/>
    <n v="6.6974595842956119E-2"/>
    <s v="Tonners"/>
    <x v="4"/>
    <x v="19"/>
    <x v="55"/>
    <m/>
  </r>
  <r>
    <s v="buitencam"/>
    <n v="440000"/>
    <n v="400000"/>
    <n v="40000"/>
    <n v="0.1"/>
    <s v="Talonarios "/>
    <x v="4"/>
    <x v="20"/>
    <x v="55"/>
    <m/>
  </r>
  <r>
    <s v="Hierro todo "/>
    <n v="29000"/>
    <n v="18600"/>
    <n v="10400"/>
    <n v="0.55913978494623651"/>
    <s v="chapas para señalizacion "/>
    <x v="4"/>
    <x v="18"/>
    <x v="56"/>
    <m/>
  </r>
  <r>
    <s v="bleu automotores"/>
    <n v="1122684.5900000001"/>
    <n v="434365.81"/>
    <n v="688318.78"/>
    <n v="1.5846523003272288"/>
    <s v="repuestos patente af920nt"/>
    <x v="4"/>
    <x v="14"/>
    <x v="0"/>
    <m/>
  </r>
  <r>
    <s v="bleu automotores"/>
    <n v="1122684.5900000001"/>
    <n v="434365.81"/>
    <n v="688318.78"/>
    <n v="1.5846523003272288"/>
    <s v="repuestos patente af679ug"/>
    <x v="4"/>
    <x v="14"/>
    <x v="0"/>
    <m/>
  </r>
  <r>
    <s v="ibarra luis ramon"/>
    <n v="375000"/>
    <n v="337500"/>
    <n v="37500"/>
    <n v="0.1111111111111111"/>
    <s v="reparacion movil ad627ys"/>
    <x v="4"/>
    <x v="3"/>
    <x v="50"/>
    <m/>
  </r>
  <r>
    <s v="Ato Group "/>
    <n v="1430000"/>
    <n v="1280000"/>
    <n v="150000"/>
    <n v="0.1171875"/>
    <s v="Lavarropas "/>
    <x v="4"/>
    <x v="6"/>
    <x v="57"/>
    <m/>
  </r>
  <r>
    <s v="sosa esteban "/>
    <n v="3060000"/>
    <n v="2227500"/>
    <n v="832500"/>
    <n v="0.37373737373737376"/>
    <s v="arboles citricos "/>
    <x v="4"/>
    <x v="21"/>
    <x v="58"/>
    <m/>
  </r>
  <r>
    <s v="pesse elizabeth"/>
    <n v="824800"/>
    <n v="742320"/>
    <n v="82480"/>
    <n v="0.1111111111111111"/>
    <s v="mantenimiento anual htal. polo"/>
    <x v="4"/>
    <x v="4"/>
    <x v="59"/>
    <m/>
  </r>
  <r>
    <s v="pesse elizabeth"/>
    <n v="1530600"/>
    <n v="1377540"/>
    <n v="153060"/>
    <n v="0.1111111111111111"/>
    <s v="mantenimiento anual htal. carrillo "/>
    <x v="4"/>
    <x v="4"/>
    <x v="60"/>
    <m/>
  </r>
  <r>
    <s v="pesse elizabeth"/>
    <n v="143000"/>
    <n v="128700"/>
    <n v="14300"/>
    <n v="0.1111111111111111"/>
    <s v="extintor nuevo abc x 5kg"/>
    <x v="4"/>
    <x v="4"/>
    <x v="61"/>
    <m/>
  </r>
  <r>
    <s v="schswartz diego"/>
    <n v="898026.05"/>
    <n v="738997.71"/>
    <n v="159028.34000000008"/>
    <n v="0.21519463165860162"/>
    <s v="curso de barberia "/>
    <x v="4"/>
    <x v="3"/>
    <x v="3"/>
    <m/>
  </r>
  <r>
    <s v="panamerican vial"/>
    <n v="7192000"/>
    <n v="6103000"/>
    <n v="1089000"/>
    <n v="0.17843683434376537"/>
    <s v="reparacion int 136"/>
    <x v="4"/>
    <x v="22"/>
    <x v="0"/>
    <m/>
  </r>
  <r>
    <s v="schwartz diego"/>
    <n v="1672967.18"/>
    <n v="1601494.76"/>
    <n v="71472.419999999925"/>
    <n v="4.4628569374775801E-2"/>
    <s v="curso de marroquineria "/>
    <x v="4"/>
    <x v="3"/>
    <x v="3"/>
    <m/>
  </r>
  <r>
    <s v="Nicolas echeverria "/>
    <n v="7799000"/>
    <n v="6629150"/>
    <n v="1169850"/>
    <n v="0.17647058823529413"/>
    <s v="arbitrajes "/>
    <x v="4"/>
    <x v="23"/>
    <x v="62"/>
    <m/>
  </r>
  <r>
    <s v="pesse elizabeth"/>
    <n v="824800"/>
    <n v="742320"/>
    <n v="82480"/>
    <n v="0.1111111111111111"/>
    <s v="mantenimiento anual "/>
    <x v="4"/>
    <x v="4"/>
    <x v="63"/>
    <m/>
  </r>
  <r>
    <s v="pesse elizabeth"/>
    <n v="1530600"/>
    <n v="1377540"/>
    <n v="153060"/>
    <n v="0.1111111111111111"/>
    <s v="mantenimiento anual "/>
    <x v="4"/>
    <x v="4"/>
    <x v="64"/>
    <m/>
  </r>
  <r>
    <s v="pesse elizabeth"/>
    <n v="143000"/>
    <n v="128700"/>
    <n v="14300"/>
    <n v="0.1111111111111111"/>
    <s v="extintor nuevo abc x 5kg"/>
    <x v="4"/>
    <x v="4"/>
    <x v="61"/>
    <m/>
  </r>
  <r>
    <s v="fiberco srl"/>
    <n v="920000"/>
    <n v="828008.1"/>
    <n v="91991.900000000023"/>
    <n v="0.11110024165222541"/>
    <s v="Switch ubiquitti  es-8-150w"/>
    <x v="4"/>
    <x v="12"/>
    <x v="0"/>
    <m/>
  </r>
  <r>
    <s v="desler"/>
    <n v="39745960"/>
    <n v="35712457.880000003"/>
    <n v="4033502.1199999973"/>
    <n v="0.11294383975343444"/>
    <s v="residuos patogenicos"/>
    <x v="4"/>
    <x v="4"/>
    <x v="0"/>
    <m/>
  </r>
  <r>
    <s v="dias juan carlos"/>
    <n v="673000"/>
    <n v="600000"/>
    <n v="73000"/>
    <n v="0.12166666666666667"/>
    <s v="reparaciones iveco dayly ae 728 rs"/>
    <x v="4"/>
    <x v="24"/>
    <x v="65"/>
    <m/>
  </r>
  <r>
    <s v="buitencam"/>
    <n v="8400000"/>
    <n v="7560000"/>
    <n v="840000"/>
    <n v="0.1111111111111111"/>
    <s v="ploteos, carteleria vial "/>
    <x v="4"/>
    <x v="19"/>
    <x v="66"/>
    <m/>
  </r>
  <r>
    <s v="JUNIO                                                                                                                                         JUNIO"/>
    <m/>
    <m/>
    <m/>
    <m/>
    <m/>
    <x v="1"/>
    <x v="1"/>
    <x v="0"/>
    <m/>
  </r>
  <r>
    <s v="impresores somial"/>
    <n v="296283"/>
    <n v="282172"/>
    <n v="14111"/>
    <n v="5.0008505450576245E-2"/>
    <s v="impresiones facturas C "/>
    <x v="5"/>
    <x v="4"/>
    <x v="0"/>
    <n v="12471746.67"/>
  </r>
  <r>
    <s v="ato group "/>
    <n v="3747000"/>
    <n v="3510000"/>
    <n v="237000"/>
    <n v="6.7521367521367517E-2"/>
    <s v="Mobiliario para salita de salud "/>
    <x v="5"/>
    <x v="25"/>
    <x v="67"/>
    <m/>
  </r>
  <r>
    <s v="artrotek s.r.l."/>
    <n v="54458292.57"/>
    <n v="48841518"/>
    <n v="5616774.5700000003"/>
    <n v="0.115"/>
    <s v="recarga endogia "/>
    <x v="5"/>
    <x v="25"/>
    <x v="0"/>
    <m/>
  </r>
  <r>
    <s v="veron "/>
    <n v="1448740"/>
    <n v="1231480"/>
    <n v="217260"/>
    <n v="0.17642186637217008"/>
    <s v="Barrales "/>
    <x v="5"/>
    <x v="6"/>
    <x v="68"/>
    <m/>
  </r>
  <r>
    <s v="pop"/>
    <n v="300000"/>
    <n v="270000"/>
    <n v="30000"/>
    <n v="0.1111111111111111"/>
    <s v="Desploteo "/>
    <x v="5"/>
    <x v="24"/>
    <x v="69"/>
    <m/>
  </r>
  <r>
    <s v="munguia"/>
    <n v="7670000"/>
    <n v="7178000"/>
    <n v="492000"/>
    <n v="6.8542769573697412E-2"/>
    <s v="provision de bomba nueva y reparacion"/>
    <x v="5"/>
    <x v="26"/>
    <x v="0"/>
    <m/>
  </r>
  <r>
    <s v="iurisci "/>
    <n v="746458"/>
    <n v="688425"/>
    <n v="58033"/>
    <n v="8.4298216944474702E-2"/>
    <s v="insumos de ferreteria "/>
    <x v="5"/>
    <x v="4"/>
    <x v="0"/>
    <m/>
  </r>
  <r>
    <s v="ato group"/>
    <n v="475000"/>
    <n v="352000"/>
    <n v="123000"/>
    <n v="0.34943181818181818"/>
    <s v="Insumos electricos "/>
    <x v="5"/>
    <x v="27"/>
    <x v="70"/>
    <m/>
  </r>
  <r>
    <s v="ato group"/>
    <n v="5660000"/>
    <n v="5000000"/>
    <n v="660000"/>
    <n v="0.13200000000000001"/>
    <s v="desfibrilador HS1 heartstart philps"/>
    <x v="5"/>
    <x v="3"/>
    <x v="71"/>
    <m/>
  </r>
  <r>
    <s v="auditech"/>
    <n v="3754000"/>
    <n v="1630000"/>
    <n v="2124000"/>
    <n v="1.3030674846625767"/>
    <s v="provision de 40 baterias csb 12v 7ah go1272f2 cs3 "/>
    <x v="5"/>
    <x v="12"/>
    <x v="72"/>
    <m/>
  </r>
  <r>
    <s v="schwartz diego"/>
    <n v="4059092.4"/>
    <n v="3901038.7"/>
    <n v="158053.69999999972"/>
    <n v="4.0515799035779808E-2"/>
    <s v="curso de serigrafia "/>
    <x v="5"/>
    <x v="3"/>
    <x v="3"/>
    <m/>
  </r>
  <r>
    <s v="renovar energias s.r.l."/>
    <n v="11184840"/>
    <n v="10184840"/>
    <n v="1000000"/>
    <n v="9.8185145765667406E-2"/>
    <s v="paneles solares "/>
    <x v="5"/>
    <x v="9"/>
    <x v="0"/>
    <m/>
  </r>
  <r>
    <s v="cristales mitre"/>
    <n v="149760"/>
    <n v="121760"/>
    <n v="28000"/>
    <n v="0.22996057818659657"/>
    <s v="repuestos para paugeot partner 1,9 año 2008 int 185"/>
    <x v="5"/>
    <x v="6"/>
    <x v="73"/>
    <m/>
  </r>
  <r>
    <s v="grupo regal s.r.l."/>
    <n v="5445000"/>
    <n v="5036600"/>
    <n v="408400"/>
    <n v="8.1086447206448795E-2"/>
    <s v="bandeja termica silver c/vajilla"/>
    <x v="5"/>
    <x v="4"/>
    <x v="0"/>
    <m/>
  </r>
  <r>
    <s v="pda"/>
    <n v="2480130"/>
    <n v="2281719.6"/>
    <n v="198410.39999999991"/>
    <n v="8.6956521739130391E-2"/>
    <s v="herramientas y epp para vivero municipal"/>
    <x v="5"/>
    <x v="0"/>
    <x v="0"/>
    <m/>
  </r>
  <r>
    <s v="munguia"/>
    <n v="506500"/>
    <n v="438500"/>
    <n v="68000"/>
    <n v="0.15507411630558723"/>
    <s v="materiales para armado de muebles"/>
    <x v="5"/>
    <x v="3"/>
    <x v="48"/>
    <m/>
  </r>
  <r>
    <s v="munguia"/>
    <n v="1507370"/>
    <n v="1343666"/>
    <n v="163704"/>
    <n v="0.12183384859034908"/>
    <s v="inusmos de plomeria "/>
    <x v="5"/>
    <x v="4"/>
    <x v="74"/>
    <m/>
  </r>
  <r>
    <s v="ato "/>
    <n v="3428000"/>
    <n v="2553000"/>
    <n v="875000"/>
    <n v="0.3427340383862123"/>
    <s v="mesas y sillas de plastico "/>
    <x v="5"/>
    <x v="1"/>
    <x v="75"/>
    <m/>
  </r>
  <r>
    <s v="JUNIO"/>
    <n v="107316465.97"/>
    <n v="94844719.299999997"/>
    <n v="12471746.67"/>
    <m/>
    <m/>
    <x v="5"/>
    <x v="1"/>
    <x v="0"/>
    <m/>
  </r>
  <r>
    <s v="JULIO                                                                                                                                         JULIO"/>
    <m/>
    <m/>
    <m/>
    <m/>
    <m/>
    <x v="1"/>
    <x v="1"/>
    <x v="0"/>
    <m/>
  </r>
  <r>
    <s v="Veron Marcelo "/>
    <n v="3687970"/>
    <n v="3430220.6"/>
    <n v="257749.39999999991"/>
    <n v="7.5140764999195656E-2"/>
    <s v="Art de computacion "/>
    <x v="6"/>
    <x v="6"/>
    <x v="76"/>
    <n v="18530377.52"/>
  </r>
  <r>
    <s v="Sosa Ezequiel "/>
    <n v="3304399.32"/>
    <n v="3291900"/>
    <n v="12499.319999999832"/>
    <n v="3.7969926182447318E-3"/>
    <s v="Pinturas"/>
    <x v="6"/>
    <x v="25"/>
    <x v="0"/>
    <m/>
  </r>
  <r>
    <s v="Universo Deportivo "/>
    <n v="275000"/>
    <n v="209000"/>
    <n v="66000"/>
    <n v="0.31578947368421051"/>
    <s v="Remeras lisas "/>
    <x v="6"/>
    <x v="6"/>
    <x v="77"/>
    <m/>
  </r>
  <r>
    <s v="Mitre "/>
    <n v="174240"/>
    <n v="156816"/>
    <n v="17424"/>
    <n v="0.1111111111111111"/>
    <s v="Reparacion int 176"/>
    <x v="6"/>
    <x v="17"/>
    <x v="0"/>
    <m/>
  </r>
  <r>
    <s v="Mitre "/>
    <n v="237850"/>
    <n v="214066"/>
    <n v="23784"/>
    <n v="0.11110592060392589"/>
    <s v="Reparacion int 176"/>
    <x v="6"/>
    <x v="17"/>
    <x v="0"/>
    <m/>
  </r>
  <r>
    <s v="Daniel Rugiero "/>
    <n v="660000"/>
    <n v="620000"/>
    <n v="40000"/>
    <n v="6.4516129032258063E-2"/>
    <s v="Neumaticos 175/65 r14 "/>
    <x v="6"/>
    <x v="17"/>
    <x v="0"/>
    <m/>
  </r>
  <r>
    <s v="pda "/>
    <n v="2254800"/>
    <n v="2030900"/>
    <n v="223900"/>
    <n v="0.11024668866019992"/>
    <s v="herramientas "/>
    <x v="6"/>
    <x v="17"/>
    <x v="0"/>
    <m/>
  </r>
  <r>
    <s v="P&amp;B Luis ramon ibarra "/>
    <n v="1358000"/>
    <n v="1322000"/>
    <n v="36000"/>
    <n v="2.7231467473524961E-2"/>
    <s v="Reparacion int 318"/>
    <x v="6"/>
    <x v="6"/>
    <x v="78"/>
    <m/>
  </r>
  <r>
    <s v="P&amp;B Luis ramon ibarra "/>
    <n v="1857000"/>
    <n v="1699000"/>
    <n v="158000"/>
    <n v="9.2995879929370223E-2"/>
    <s v="Reparacion int 318"/>
    <x v="6"/>
    <x v="6"/>
    <x v="78"/>
    <m/>
  </r>
  <r>
    <s v="Sosa Ezequiel "/>
    <n v="1747806"/>
    <n v="1572256"/>
    <n v="175550"/>
    <n v="0.11165484501251705"/>
    <s v="Caños"/>
    <x v="6"/>
    <x v="28"/>
    <x v="0"/>
    <m/>
  </r>
  <r>
    <s v="Angel Scoleri "/>
    <n v="5880000"/>
    <n v="5586000"/>
    <n v="294000"/>
    <n v="5.2631578947368418E-2"/>
    <s v="Reflectores "/>
    <x v="6"/>
    <x v="6"/>
    <x v="36"/>
    <m/>
  </r>
  <r>
    <s v="parco santiago"/>
    <n v="232400"/>
    <n v="217400"/>
    <n v="15000"/>
    <n v="6.8997240110395583E-2"/>
    <s v="repuesto polea y mano de obra"/>
    <x v="6"/>
    <x v="3"/>
    <x v="79"/>
    <m/>
  </r>
  <r>
    <s v="dene"/>
    <n v="749000"/>
    <n v="674100"/>
    <m/>
    <n v="0.1111111111111111"/>
    <s v="rep de alimentador "/>
    <x v="6"/>
    <x v="27"/>
    <x v="0"/>
    <m/>
  </r>
  <r>
    <s v="mitre "/>
    <n v="1523662"/>
    <n v="998626"/>
    <n v="525036"/>
    <n v="0.52575839203065011"/>
    <s v="rep ford ranger int 166"/>
    <x v="6"/>
    <x v="27"/>
    <x v="0"/>
    <m/>
  </r>
  <r>
    <s v="antagli y mangini"/>
    <n v="1160970.8"/>
    <n v="1068094"/>
    <n v="92876.800000000047"/>
    <n v="8.6955642480905287E-2"/>
    <s v="reparaciones"/>
    <x v="6"/>
    <x v="27"/>
    <x v="0"/>
    <m/>
  </r>
  <r>
    <s v="ser. integrales dali"/>
    <n v="402417500"/>
    <n v="388613900"/>
    <n v="13803600"/>
    <n v="3.5520088190360663E-2"/>
    <s v="comida hospitales"/>
    <x v="6"/>
    <x v="4"/>
    <x v="0"/>
    <m/>
  </r>
  <r>
    <s v="veron julio marcelo"/>
    <n v="1663370"/>
    <n v="1497033"/>
    <n v="166337"/>
    <n v="0.1111111111111111"/>
    <s v="cortadoras de pelo"/>
    <x v="6"/>
    <x v="3"/>
    <x v="80"/>
    <m/>
  </r>
  <r>
    <s v="Pop "/>
    <n v="1086000"/>
    <n v="977400"/>
    <n v="108600"/>
    <n v="0.1111111111111111"/>
    <s v="Ploteo "/>
    <x v="6"/>
    <x v="3"/>
    <x v="81"/>
    <m/>
  </r>
  <r>
    <s v="Cristales mitre "/>
    <n v="1636187"/>
    <n v="1328236"/>
    <n v="307951"/>
    <n v="0.23184961106309421"/>
    <s v="reparacion y materiales int 406"/>
    <x v="6"/>
    <x v="4"/>
    <x v="0"/>
    <m/>
  </r>
  <r>
    <s v="iurisci"/>
    <n v="5568190"/>
    <n v="3362120"/>
    <n v="2206070"/>
    <n v="0.65615445016834617"/>
    <s v="cables, termicas e interruptores"/>
    <x v="6"/>
    <x v="4"/>
    <x v="0"/>
    <m/>
  </r>
  <r>
    <s v="AGOSTO                                                                                                                                         AGOSTO"/>
    <m/>
    <m/>
    <m/>
    <m/>
    <m/>
    <x v="1"/>
    <x v="1"/>
    <x v="0"/>
    <m/>
  </r>
  <r>
    <s v="carlini javier alberto "/>
    <n v="442000"/>
    <n v="388960"/>
    <n v="53040"/>
    <n v="0.13636363636363635"/>
    <s v="freno hidraulico y herraje"/>
    <x v="7"/>
    <x v="4"/>
    <x v="82"/>
    <n v="18515720"/>
  </r>
  <r>
    <s v="carlini javier alberto "/>
    <n v="442000"/>
    <n v="388960"/>
    <n v="53040"/>
    <n v="0.13636363636363635"/>
    <s v="freno hidraulico y herraje"/>
    <x v="7"/>
    <x v="4"/>
    <x v="83"/>
    <m/>
  </r>
  <r>
    <s v="Majuser "/>
    <n v="1244250"/>
    <n v="1185000"/>
    <n v="59250"/>
    <n v="0.05"/>
    <s v="Cambio de elastico "/>
    <x v="7"/>
    <x v="29"/>
    <x v="0"/>
    <m/>
  </r>
  <r>
    <s v="grafica ramlil"/>
    <n v="538200"/>
    <n v="484380"/>
    <n v="53820"/>
    <n v="0.1111111111111111"/>
    <s v="desploteo y ploteo completo "/>
    <x v="7"/>
    <x v="1"/>
    <x v="84"/>
    <m/>
  </r>
  <r>
    <s v="grafica ramlil"/>
    <n v="538200"/>
    <n v="484380"/>
    <n v="53820"/>
    <n v="0.1111111111111111"/>
    <s v="Produccion e instalacion de vinilo laminado "/>
    <x v="7"/>
    <x v="1"/>
    <x v="84"/>
    <m/>
  </r>
  <r>
    <s v="rotela "/>
    <n v="3168000"/>
    <n v="2880000"/>
    <n v="288000"/>
    <n v="0.1"/>
    <s v="reparacion hormigonera"/>
    <x v="7"/>
    <x v="13"/>
    <x v="0"/>
    <m/>
  </r>
  <r>
    <s v="ato "/>
    <n v="72000"/>
    <n v="63800"/>
    <n v="8200"/>
    <n v="0.12852664576802508"/>
    <s v="Pava electrica "/>
    <x v="7"/>
    <x v="30"/>
    <x v="0"/>
    <m/>
  </r>
  <r>
    <s v="Papelandia "/>
    <n v="713500"/>
    <n v="701100"/>
    <n v="12400"/>
    <n v="1.7686492654400227E-2"/>
    <s v="Impresora y parlante "/>
    <x v="7"/>
    <x v="3"/>
    <x v="85"/>
    <m/>
  </r>
  <r>
    <s v="garcia diego"/>
    <n v="3850000"/>
    <n v="3120000"/>
    <n v="730000"/>
    <n v="0.23397435897435898"/>
    <s v="fumigacion prensa"/>
    <x v="7"/>
    <x v="3"/>
    <x v="86"/>
    <m/>
  </r>
  <r>
    <s v="munguia"/>
    <n v="3869800"/>
    <n v="3552871"/>
    <n v="316929"/>
    <n v="8.9203632780362696E-2"/>
    <s v="refacciones fabrila de ladrillos ecologicos "/>
    <x v="7"/>
    <x v="9"/>
    <x v="0"/>
    <m/>
  </r>
  <r>
    <s v="pop"/>
    <n v="538200"/>
    <n v="484380"/>
    <n v="53820"/>
    <n v="0.1111111111111111"/>
    <s v="Produccion e instalacion de vinilo "/>
    <x v="7"/>
    <x v="8"/>
    <x v="87"/>
    <m/>
  </r>
  <r>
    <s v="cristales mitre "/>
    <n v="3721152"/>
    <n v="3488580"/>
    <n v="232572"/>
    <n v="6.6666666666666666E-2"/>
    <s v="Barral led "/>
    <x v="7"/>
    <x v="8"/>
    <x v="87"/>
    <m/>
  </r>
  <r>
    <s v="Basani "/>
    <n v="5470000"/>
    <n v="4901100"/>
    <n v="568900"/>
    <n v="0.11607598294260472"/>
    <s v="Alquiler de baños quimicos "/>
    <x v="7"/>
    <x v="1"/>
    <x v="0"/>
    <m/>
  </r>
  <r>
    <s v="pop"/>
    <n v="680000"/>
    <n v="590000"/>
    <n v="90000"/>
    <n v="0.15254237288135594"/>
    <s v="Recambio de cierre para un inflable "/>
    <x v="7"/>
    <x v="3"/>
    <x v="85"/>
    <m/>
  </r>
  <r>
    <s v="pop"/>
    <n v="538200"/>
    <n v="484380"/>
    <n v="53820"/>
    <n v="0.1111111111111111"/>
    <s v="Prod e instalacion de vinila "/>
    <x v="7"/>
    <x v="3"/>
    <x v="84"/>
    <m/>
  </r>
  <r>
    <s v="ancelux"/>
    <n v="35823060"/>
    <n v="28485864"/>
    <n v="7337196"/>
    <n v="0.25757323000629367"/>
    <s v="container"/>
    <x v="7"/>
    <x v="1"/>
    <x v="0"/>
    <m/>
  </r>
  <r>
    <s v="kymat "/>
    <n v="150810"/>
    <n v="144750"/>
    <n v="6060"/>
    <n v="4.1865284974093267E-2"/>
    <s v="Insumos electricos "/>
    <x v="7"/>
    <x v="0"/>
    <x v="88"/>
    <m/>
  </r>
  <r>
    <s v="sosa "/>
    <n v="86740"/>
    <n v="77440"/>
    <n v="9300"/>
    <n v="0.12009297520661157"/>
    <s v="Materiales para refaccion "/>
    <x v="7"/>
    <x v="9"/>
    <x v="89"/>
    <m/>
  </r>
  <r>
    <s v="repuestos 119"/>
    <n v="189000"/>
    <n v="182000"/>
    <n v="7000"/>
    <n v="3.8461538461538464E-2"/>
    <s v="bateria ranger 2,2 "/>
    <x v="7"/>
    <x v="3"/>
    <x v="90"/>
    <m/>
  </r>
  <r>
    <s v="rc redes"/>
    <n v="21400000"/>
    <n v="19999699"/>
    <n v="1400301"/>
    <n v="7.0016103742361321E-2"/>
    <s v="tendido de bandeja "/>
    <x v="7"/>
    <x v="4"/>
    <x v="0"/>
    <m/>
  </r>
  <r>
    <s v="panamerican vial "/>
    <n v="9800000"/>
    <n v="8820000"/>
    <n v="980000"/>
    <n v="0.1111111111111111"/>
    <s v="reparacion mixer INT 137"/>
    <x v="7"/>
    <x v="0"/>
    <x v="0"/>
    <m/>
  </r>
  <r>
    <s v="Luis ramon ibarra "/>
    <n v="781000"/>
    <n v="580000"/>
    <n v="201000"/>
    <n v="0.34655172413793106"/>
    <s v="Reparaciones in 411"/>
    <x v="7"/>
    <x v="1"/>
    <x v="91"/>
    <m/>
  </r>
  <r>
    <s v="sosa esteban "/>
    <n v="17056000"/>
    <n v="13592500"/>
    <n v="3463500"/>
    <n v="0.25480963766783155"/>
    <s v="Provision de plantas "/>
    <x v="7"/>
    <x v="1"/>
    <x v="92"/>
    <m/>
  </r>
  <r>
    <s v="carlini "/>
    <n v="911830"/>
    <n v="805500"/>
    <n v="106330"/>
    <n v="0.13200496585971447"/>
    <s v="ploteado esmerilado "/>
    <x v="7"/>
    <x v="31"/>
    <x v="93"/>
    <m/>
  </r>
  <r>
    <s v="carlini"/>
    <n v="780000"/>
    <n v="710000"/>
    <n v="70000"/>
    <n v="9.8591549295774641E-2"/>
    <s v="marco ventana aluminio con vridio 3+3 laminado"/>
    <x v="7"/>
    <x v="9"/>
    <x v="0"/>
    <m/>
  </r>
  <r>
    <s v="rivas lucas agustin"/>
    <n v="3366700"/>
    <n v="2892300"/>
    <n v="474400"/>
    <n v="0.16402171282370431"/>
    <s v="reparaicon int 414"/>
    <x v="7"/>
    <x v="3"/>
    <x v="79"/>
    <m/>
  </r>
  <r>
    <s v="faytim"/>
    <n v="3180000"/>
    <n v="3088000"/>
    <n v="92000"/>
    <n v="2.9792746113989636E-2"/>
    <s v="neumaticos int 329 "/>
    <x v="7"/>
    <x v="0"/>
    <x v="28"/>
    <m/>
  </r>
  <r>
    <s v="javier rotela"/>
    <n v="3530000"/>
    <n v="3361000"/>
    <n v="169000"/>
    <n v="5.0282653972032132E-2"/>
    <s v="reparacion int 60"/>
    <x v="7"/>
    <x v="0"/>
    <x v="94"/>
    <m/>
  </r>
  <r>
    <s v="javier rotela"/>
    <n v="836200"/>
    <n v="763000"/>
    <n v="73200"/>
    <n v="9.5937090432503272E-2"/>
    <s v="reparacion int 329"/>
    <x v="7"/>
    <x v="0"/>
    <x v="28"/>
    <m/>
  </r>
  <r>
    <s v="javier rotela"/>
    <n v="2112000"/>
    <n v="1938000"/>
    <n v="174000"/>
    <n v="8.9783281733746126E-2"/>
    <s v="reparacion int 149"/>
    <x v="7"/>
    <x v="0"/>
    <x v="28"/>
    <m/>
  </r>
  <r>
    <s v="Alejandro Iurisci "/>
    <n v="540772"/>
    <n v="499150"/>
    <n v="41622"/>
    <n v="8.3385755784834217E-2"/>
    <s v="Mat de griferia "/>
    <x v="7"/>
    <x v="32"/>
    <x v="0"/>
    <m/>
  </r>
  <r>
    <s v="dene"/>
    <n v="1057000"/>
    <n v="1004150"/>
    <n v="52850"/>
    <n v="5.2631578947368418E-2"/>
    <s v="Reparaciones int 338"/>
    <x v="7"/>
    <x v="0"/>
    <x v="28"/>
    <m/>
  </r>
  <r>
    <s v="faytim "/>
    <n v="13449000"/>
    <n v="12776550"/>
    <n v="672450"/>
    <n v="5.2631578947368418E-2"/>
    <s v="neumaticos  para stock"/>
    <x v="7"/>
    <x v="0"/>
    <x v="28"/>
    <m/>
  </r>
  <r>
    <s v="panamerican vial"/>
    <n v="6800000"/>
    <n v="6460000"/>
    <n v="340000"/>
    <n v="5.2631578947368418E-2"/>
    <s v="reparacion mixer int 07"/>
    <x v="7"/>
    <x v="0"/>
    <x v="0"/>
    <m/>
  </r>
  <r>
    <s v="novak gerardo "/>
    <n v="90000"/>
    <n v="78000"/>
    <n v="12000"/>
    <n v="0.15384615384615385"/>
    <s v="service int 311"/>
    <x v="7"/>
    <x v="3"/>
    <x v="95"/>
    <m/>
  </r>
  <r>
    <s v="novak gerardo "/>
    <n v="888000"/>
    <n v="792000"/>
    <n v="96000"/>
    <n v="0.12121212121212122"/>
    <s v="liquido hidraulico, refrigerante y frenos "/>
    <x v="7"/>
    <x v="3"/>
    <x v="79"/>
    <m/>
  </r>
  <r>
    <s v="rectificacion dene"/>
    <n v="2198000"/>
    <n v="2088100"/>
    <n v="109900"/>
    <n v="5.2631578947368418E-2"/>
    <s v="reparacion int 115"/>
    <x v="7"/>
    <x v="0"/>
    <x v="28"/>
    <m/>
  </r>
  <r>
    <s v="SEPTIEMBRE                                                                                                                                         SEPTIEMBRE"/>
    <m/>
    <m/>
    <m/>
    <m/>
    <m/>
    <x v="1"/>
    <x v="1"/>
    <x v="0"/>
    <m/>
  </r>
  <r>
    <s v="boreas desings"/>
    <n v="6050000"/>
    <n v="5566000"/>
    <n v="484000"/>
    <n v="8.6956521739130432E-2"/>
    <s v="arco inflable llegada y largada"/>
    <x v="8"/>
    <x v="3"/>
    <x v="96"/>
    <n v="7091438"/>
  </r>
  <r>
    <s v="papelandia "/>
    <n v="353600"/>
    <n v="342000"/>
    <n v="11600"/>
    <n v="3.3918128654970757E-2"/>
    <s v="bibloteca "/>
    <x v="8"/>
    <x v="6"/>
    <x v="36"/>
    <m/>
  </r>
  <r>
    <s v="ato group "/>
    <n v="672400"/>
    <n v="630400"/>
    <n v="42000"/>
    <n v="6.6624365482233508E-2"/>
    <s v="bazar "/>
    <x v="8"/>
    <x v="6"/>
    <x v="97"/>
    <m/>
  </r>
  <r>
    <s v="ato group "/>
    <n v="1960000"/>
    <n v="1840000"/>
    <n v="120000"/>
    <n v="6.5217391304347824E-2"/>
    <s v="Tablet "/>
    <x v="8"/>
    <x v="28"/>
    <x v="98"/>
    <m/>
  </r>
  <r>
    <s v="veron"/>
    <n v="7196000"/>
    <n v="6689000"/>
    <n v="507000"/>
    <n v="7.5796083121542832E-2"/>
    <s v="colchones"/>
    <x v="8"/>
    <x v="0"/>
    <x v="99"/>
    <m/>
  </r>
  <r>
    <s v="jpf "/>
    <n v="5337500"/>
    <n v="5232500"/>
    <n v="105000"/>
    <n v="2.0066889632107024E-2"/>
    <s v="provision y colocacion cerco premoldeado predio batallon"/>
    <x v="8"/>
    <x v="28"/>
    <x v="0"/>
    <m/>
  </r>
  <r>
    <s v="Carlini"/>
    <n v="5526000"/>
    <n v="4860000"/>
    <n v="666000"/>
    <n v="0.13703703703703704"/>
    <s v="division de oficina ulg"/>
    <x v="8"/>
    <x v="3"/>
    <x v="100"/>
    <m/>
  </r>
  <r>
    <s v="sosa esteban "/>
    <n v="5922000"/>
    <n v="5205500"/>
    <n v="716500"/>
    <n v="0.13764287772548267"/>
    <s v="Plantas "/>
    <x v="8"/>
    <x v="21"/>
    <x v="101"/>
    <m/>
  </r>
  <r>
    <s v="Papelandia "/>
    <n v="1892340"/>
    <n v="1080000"/>
    <n v="812340"/>
    <n v="0.75216666666666665"/>
    <s v="Resmas "/>
    <x v="8"/>
    <x v="33"/>
    <x v="0"/>
    <m/>
  </r>
  <r>
    <s v="ato "/>
    <n v="6160000"/>
    <n v="5600000"/>
    <n v="560000"/>
    <n v="0.1"/>
    <s v="set de mates "/>
    <x v="8"/>
    <x v="3"/>
    <x v="53"/>
    <m/>
  </r>
  <r>
    <s v="Munguia"/>
    <n v="4571500"/>
    <n v="4088000"/>
    <n v="483500"/>
    <n v="0.11827299412915851"/>
    <s v="Reparacion en el Polo Sanitario "/>
    <x v="8"/>
    <x v="25"/>
    <x v="0"/>
    <m/>
  </r>
  <r>
    <s v="rotela javier"/>
    <n v="5625400"/>
    <n v="5342000"/>
    <n v="283400"/>
    <n v="5.3051291651067013E-2"/>
    <s v="reparacion int. de hormigonera "/>
    <x v="8"/>
    <x v="0"/>
    <x v="0"/>
    <m/>
  </r>
  <r>
    <s v="munguia "/>
    <n v="5400000"/>
    <n v="5190000"/>
    <n v="210000"/>
    <n v="4.046242774566474E-2"/>
    <s v="caño 200 pluvial x mt"/>
    <x v="8"/>
    <x v="9"/>
    <x v="0"/>
    <m/>
  </r>
  <r>
    <s v="Bleu "/>
    <n v="553299.43999999994"/>
    <n v="497969.44"/>
    <n v="55329.999999999942"/>
    <n v="0.11111123606300005"/>
    <s v="kangoo ii express confort 5a 1,6"/>
    <x v="8"/>
    <x v="25"/>
    <x v="0"/>
    <m/>
  </r>
  <r>
    <s v="scoleri"/>
    <n v="4336400"/>
    <n v="4312400"/>
    <n v="24000"/>
    <n v="5.5653464428160656E-3"/>
    <s v="insumos electricos"/>
    <x v="8"/>
    <x v="0"/>
    <x v="0"/>
    <m/>
  </r>
  <r>
    <s v="munguia"/>
    <n v="3534858"/>
    <n v="3334230"/>
    <n v="200628"/>
    <n v="6.0172213674521552E-2"/>
    <s v="reparacion techo pileta del polo"/>
    <x v="8"/>
    <x v="4"/>
    <x v="0"/>
    <m/>
  </r>
  <r>
    <s v="Pop"/>
    <n v="582450"/>
    <n v="529500"/>
    <n v="52950"/>
    <n v="0.1"/>
    <s v="desploteo y ploteo vehicular lyb 620"/>
    <x v="8"/>
    <x v="23"/>
    <x v="79"/>
    <m/>
  </r>
  <r>
    <s v="Pop"/>
    <n v="5242500"/>
    <n v="4765500"/>
    <n v="477000"/>
    <n v="0.10009442870632672"/>
    <s v="desploteo y ploteo vehicular "/>
    <x v="8"/>
    <x v="23"/>
    <x v="79"/>
    <m/>
  </r>
  <r>
    <s v="veron"/>
    <n v="1037890"/>
    <n v="992700"/>
    <n v="45190"/>
    <n v="4.552231288405359E-2"/>
    <s v="Impresora y pilas "/>
    <x v="8"/>
    <x v="34"/>
    <x v="102"/>
    <m/>
  </r>
  <r>
    <s v="rc "/>
    <n v="490000"/>
    <n v="325000"/>
    <n v="165000"/>
    <n v="0.50769230769230766"/>
    <s v="baterias "/>
    <x v="8"/>
    <x v="5"/>
    <x v="0"/>
    <m/>
  </r>
  <r>
    <s v="rivas lucas agustin"/>
    <n v="8310000"/>
    <n v="7240000"/>
    <n v="1070000"/>
    <n v="0.1477900552486188"/>
    <s v="repacion int 300"/>
    <x v="8"/>
    <x v="3"/>
    <x v="103"/>
    <m/>
  </r>
  <r>
    <s v="OCTUBRE "/>
    <m/>
    <m/>
    <m/>
    <m/>
    <m/>
    <x v="1"/>
    <x v="1"/>
    <x v="0"/>
    <m/>
  </r>
  <r>
    <s v="pop"/>
    <n v="6372000"/>
    <n v="5640000"/>
    <n v="732000"/>
    <n v="0.12978723404255318"/>
    <s v="gazebos "/>
    <x v="9"/>
    <x v="19"/>
    <x v="104"/>
    <n v="55794224"/>
  </r>
  <r>
    <s v="solmara"/>
    <n v="82383100"/>
    <n v="69363484"/>
    <n v="13019616"/>
    <n v="0.1877012982796539"/>
    <s v="insumos de limpieza"/>
    <x v="9"/>
    <x v="4"/>
    <x v="0"/>
    <m/>
  </r>
  <r>
    <s v="ato"/>
    <n v="1300000"/>
    <n v="1100000"/>
    <n v="200000"/>
    <n v="0.18181818181818182"/>
    <s v="Bastones luminosos, viales "/>
    <x v="9"/>
    <x v="19"/>
    <x v="105"/>
    <m/>
  </r>
  <r>
    <s v="morita prod"/>
    <n v="1850000"/>
    <n v="1000000"/>
    <n v="850000"/>
    <n v="0.85"/>
    <s v="Evento "/>
    <x v="9"/>
    <x v="0"/>
    <x v="0"/>
    <m/>
  </r>
  <r>
    <s v="garcia diego"/>
    <n v="20160000"/>
    <n v="17136000"/>
    <n v="3024000"/>
    <n v="0.17647058823529413"/>
    <s v="fumigacion"/>
    <x v="9"/>
    <x v="26"/>
    <x v="0"/>
    <m/>
  </r>
  <r>
    <s v="rectificacion dene"/>
    <n v="1875000"/>
    <n v="1743000"/>
    <n v="132000"/>
    <n v="7.5731497418244406E-2"/>
    <s v="reparacion int 79"/>
    <x v="9"/>
    <x v="0"/>
    <x v="0"/>
    <m/>
  </r>
  <r>
    <s v="pda"/>
    <n v="1591650"/>
    <n v="1512160"/>
    <n v="79490"/>
    <n v="5.2567188657284943E-2"/>
    <s v="bomba y materiales apra instalacion"/>
    <x v="9"/>
    <x v="3"/>
    <x v="12"/>
    <m/>
  </r>
  <r>
    <s v="cristales mitre"/>
    <n v="551760"/>
    <n v="517275"/>
    <n v="34485"/>
    <n v="6.6666666666666666E-2"/>
    <s v="reparacion int 66"/>
    <x v="9"/>
    <x v="0"/>
    <x v="28"/>
    <m/>
  </r>
  <r>
    <s v="cristales mitre"/>
    <n v="186910"/>
    <n v="168219"/>
    <n v="18691"/>
    <n v="0.1111111111111111"/>
    <s v="reparacion int 90"/>
    <x v="9"/>
    <x v="0"/>
    <x v="28"/>
    <m/>
  </r>
  <r>
    <s v="cristales mitre"/>
    <n v="250312"/>
    <n v="234667"/>
    <n v="15645"/>
    <n v="6.6668939390711099E-2"/>
    <s v="reparacion int 217"/>
    <x v="9"/>
    <x v="0"/>
    <x v="28"/>
    <m/>
  </r>
  <r>
    <s v="cristales mitre"/>
    <n v="220800"/>
    <n v="207000"/>
    <n v="13800"/>
    <n v="6.6666666666666666E-2"/>
    <s v="reparacion int 80"/>
    <x v="9"/>
    <x v="0"/>
    <x v="28"/>
    <m/>
  </r>
  <r>
    <s v="cristales mitre"/>
    <n v="473352"/>
    <n v="443767"/>
    <n v="29585"/>
    <n v="6.6667868498558935E-2"/>
    <s v="reparacion int 27"/>
    <x v="9"/>
    <x v="0"/>
    <x v="28"/>
    <m/>
  </r>
  <r>
    <s v="rotela javier"/>
    <n v="926500"/>
    <n v="855000"/>
    <n v="71500"/>
    <n v="8.3625730994152048E-2"/>
    <s v="reparacion int 80"/>
    <x v="9"/>
    <x v="0"/>
    <x v="28"/>
    <m/>
  </r>
  <r>
    <s v="rotela javier"/>
    <n v="1785400"/>
    <n v="1640000"/>
    <n v="145400"/>
    <n v="8.8658536585365849E-2"/>
    <s v="reparacion int 233"/>
    <x v="9"/>
    <x v="0"/>
    <x v="28"/>
    <m/>
  </r>
  <r>
    <s v="rotela javier"/>
    <n v="512600"/>
    <n v="470000"/>
    <n v="42600"/>
    <n v="9.0638297872340429E-2"/>
    <s v="reparacion int 135"/>
    <x v="9"/>
    <x v="0"/>
    <x v="28"/>
    <m/>
  </r>
  <r>
    <s v="rotela javier"/>
    <n v="687500"/>
    <n v="625000"/>
    <n v="62500"/>
    <n v="0.1"/>
    <s v="reparacion int 222"/>
    <x v="9"/>
    <x v="0"/>
    <x v="28"/>
    <m/>
  </r>
  <r>
    <s v="pop "/>
    <n v="2512950"/>
    <n v="2284500"/>
    <n v="228450"/>
    <n v="0.1"/>
    <s v="ploteo y desploteo de vehiculos "/>
    <x v="9"/>
    <x v="6"/>
    <x v="106"/>
    <m/>
  </r>
  <r>
    <s v="pop "/>
    <n v="5180000"/>
    <n v="4662000"/>
    <n v="518000"/>
    <n v="0.1111111111111111"/>
    <s v="pleo de distintas motocicletas "/>
    <x v="9"/>
    <x v="1"/>
    <x v="107"/>
    <m/>
  </r>
  <r>
    <s v="rotela diego "/>
    <n v="312500"/>
    <n v="280000"/>
    <n v="32500"/>
    <n v="0.11607142857142858"/>
    <s v="Reparacion minicargadora int 149"/>
    <x v="9"/>
    <x v="17"/>
    <x v="108"/>
    <m/>
  </r>
  <r>
    <s v="mar mo "/>
    <n v="968004"/>
    <n v="919602"/>
    <n v="48402"/>
    <n v="5.2633639335277656E-2"/>
    <s v="Lubricante para mant y rep "/>
    <x v="9"/>
    <x v="17"/>
    <x v="108"/>
    <m/>
  </r>
  <r>
    <s v="Aballay adelmo "/>
    <n v="494778"/>
    <n v="445000"/>
    <n v="49778"/>
    <n v="0.11186067415730337"/>
    <s v="112x180 para ford cargo int 67"/>
    <x v="9"/>
    <x v="19"/>
    <x v="0"/>
    <m/>
  </r>
  <r>
    <s v="Cristales mitre "/>
    <n v="1856675"/>
    <n v="1671008"/>
    <n v="185667"/>
    <n v="0.11111077864378865"/>
    <s v="Provision de elementos para fort cargo 1416, int 67"/>
    <x v="9"/>
    <x v="1"/>
    <x v="109"/>
    <m/>
  </r>
  <r>
    <s v="taller de elasticos "/>
    <n v="203280"/>
    <n v="193116"/>
    <n v="10164"/>
    <n v="5.2631578947368418E-2"/>
    <s v="Reparacion de elastico "/>
    <x v="9"/>
    <x v="1"/>
    <x v="110"/>
    <m/>
  </r>
  <r>
    <s v="cementos avellaneda"/>
    <n v="262658707.5"/>
    <n v="233505037.5"/>
    <n v="29153670"/>
    <n v="0.1248524242223254"/>
    <s v="cemento CPC40"/>
    <x v="9"/>
    <x v="17"/>
    <x v="0"/>
    <m/>
  </r>
  <r>
    <s v="diaz carolina"/>
    <n v="5220000"/>
    <n v="3900000"/>
    <n v="1320000"/>
    <n v="0.33846153846153848"/>
    <s v="fumigacion defensa civil"/>
    <x v="9"/>
    <x v="3"/>
    <x v="111"/>
    <m/>
  </r>
  <r>
    <s v="Il vero oriente "/>
    <n v="1950000"/>
    <n v="1650000"/>
    <n v="300000"/>
    <n v="0.18181818181818182"/>
    <s v="Lunch para 300 personas "/>
    <x v="9"/>
    <x v="25"/>
    <x v="0"/>
    <m/>
  </r>
  <r>
    <s v="rc redes"/>
    <n v="11569000"/>
    <n v="10412100"/>
    <n v="1156900"/>
    <n v="0.1111111111111111"/>
    <s v="provision y armado de tablero electrico planta barrio segui"/>
    <x v="9"/>
    <x v="9"/>
    <x v="0"/>
    <m/>
  </r>
  <r>
    <s v="universo dep "/>
    <n v="163569600"/>
    <n v="161085600"/>
    <n v="2484000"/>
    <n v="1.5420372770750458E-2"/>
    <s v="Trofeos "/>
    <x v="9"/>
    <x v="6"/>
    <x v="112"/>
    <m/>
  </r>
  <r>
    <s v="universo dep "/>
    <n v="185000"/>
    <n v="137900"/>
    <n v="47100"/>
    <n v="0.34155184916606235"/>
    <s v="medallas"/>
    <x v="9"/>
    <x v="6"/>
    <x v="113"/>
    <m/>
  </r>
  <r>
    <s v="ato group"/>
    <n v="2625000"/>
    <n v="1350000"/>
    <n v="1275000"/>
    <n v="0.94444444444444442"/>
    <s v="barra de ballet"/>
    <x v="9"/>
    <x v="6"/>
    <x v="48"/>
    <m/>
  </r>
  <r>
    <s v="Cristales mitre "/>
    <n v="80000"/>
    <n v="77500"/>
    <n v="2500"/>
    <n v="3.2258064516129031E-2"/>
    <s v="reparacion int 497"/>
    <x v="9"/>
    <x v="0"/>
    <x v="0"/>
    <m/>
  </r>
  <r>
    <s v="Cristales mitre "/>
    <n v="842880"/>
    <n v="816540"/>
    <n v="26340"/>
    <n v="3.2258064516129031E-2"/>
    <s v="reparacion int 186"/>
    <x v="9"/>
    <x v="0"/>
    <x v="0"/>
    <m/>
  </r>
  <r>
    <s v="Cristales mitre "/>
    <n v="398000"/>
    <n v="358200"/>
    <n v="39800"/>
    <n v="0.1111111111111111"/>
    <s v="reparacion int 138"/>
    <x v="9"/>
    <x v="0"/>
    <x v="0"/>
    <m/>
  </r>
  <r>
    <s v="miguel marano"/>
    <n v="2973850"/>
    <n v="2884635"/>
    <n v="89215"/>
    <n v="3.0927656358603429E-2"/>
    <s v="reparacion int 135"/>
    <x v="9"/>
    <x v="0"/>
    <x v="0"/>
    <m/>
  </r>
  <r>
    <s v="miguel marano"/>
    <n v="1897520"/>
    <n v="1840594"/>
    <n v="56926"/>
    <n v="3.0928059093966405E-2"/>
    <s v="reparacion int 79"/>
    <x v="9"/>
    <x v="0"/>
    <x v="0"/>
    <m/>
  </r>
  <r>
    <s v="novak gerardo"/>
    <n v="159000"/>
    <n v="139500"/>
    <n v="19500"/>
    <n v="0.13978494623655913"/>
    <s v="filtros de aceite"/>
    <x v="9"/>
    <x v="0"/>
    <x v="0"/>
    <m/>
  </r>
  <r>
    <s v="raul barbieris "/>
    <n v="5544000"/>
    <n v="5265000"/>
    <n v="279000"/>
    <n v="5.2991452991452991E-2"/>
    <s v="reparacion int 135,230,222,210,194"/>
    <x v="9"/>
    <x v="0"/>
    <x v="0"/>
    <m/>
  </r>
  <r>
    <s v="NOVIEMBRE "/>
    <m/>
    <m/>
    <m/>
    <m/>
    <m/>
    <x v="1"/>
    <x v="1"/>
    <x v="0"/>
    <m/>
  </r>
  <r>
    <s v="Emprendimientos mall "/>
    <n v="1702000"/>
    <n v="1620000"/>
    <n v="82000"/>
    <n v="5.0617283950617285E-2"/>
    <s v="Neumaticos "/>
    <x v="10"/>
    <x v="0"/>
    <x v="108"/>
    <n v="19434904.550000001"/>
  </r>
  <r>
    <s v="ibarra luis ramon"/>
    <n v="4525000"/>
    <n v="3989800"/>
    <n v="535200"/>
    <n v="0.13414206225875983"/>
    <s v="reparacion int 084"/>
    <x v="10"/>
    <x v="3"/>
    <x v="114"/>
    <m/>
  </r>
  <r>
    <s v="ato group"/>
    <n v="3000000"/>
    <n v="2254000"/>
    <n v="746000"/>
    <n v="0.33096716947648624"/>
    <s v="gazebos"/>
    <x v="10"/>
    <x v="3"/>
    <x v="115"/>
    <m/>
  </r>
  <r>
    <s v="LLT Traslados "/>
    <n v="5952615.5499999998"/>
    <n v="5640188"/>
    <n v="312427.54999999981"/>
    <n v="5.5393109236784276E-2"/>
    <s v="traslados a cordoba "/>
    <x v="10"/>
    <x v="6"/>
    <x v="116"/>
    <m/>
  </r>
  <r>
    <s v="javier rotela"/>
    <n v="835200"/>
    <n v="793200"/>
    <n v="42000"/>
    <n v="5.2950075642965201E-2"/>
    <s v="reparacion hidrolavadora industrial"/>
    <x v="10"/>
    <x v="0"/>
    <x v="52"/>
    <m/>
  </r>
  <r>
    <s v="javier rotela"/>
    <n v="512000"/>
    <n v="483000"/>
    <n v="29000"/>
    <n v="6.0041407867494824E-2"/>
    <s v="repracion motoniveladora int 80"/>
    <x v="10"/>
    <x v="0"/>
    <x v="52"/>
    <m/>
  </r>
  <r>
    <s v="javier rotela"/>
    <n v="1745200"/>
    <n v="1650000"/>
    <n v="95200"/>
    <n v="5.7696969696969698E-2"/>
    <s v="reparacion hidroelevador int 111"/>
    <x v="10"/>
    <x v="0"/>
    <x v="52"/>
    <m/>
  </r>
  <r>
    <s v="javier rotela"/>
    <n v="1830200"/>
    <n v="1750000"/>
    <n v="80200"/>
    <n v="4.5828571428571427E-2"/>
    <s v="reparcion int 233"/>
    <x v="10"/>
    <x v="0"/>
    <x v="52"/>
    <m/>
  </r>
  <r>
    <s v="javier rotela"/>
    <n v="668900"/>
    <n v="610000"/>
    <n v="58900"/>
    <n v="9.6557377049180326E-2"/>
    <s v="reparacion int 127"/>
    <x v="10"/>
    <x v="0"/>
    <x v="52"/>
    <m/>
  </r>
  <r>
    <s v="javier rotela"/>
    <n v="561000"/>
    <n v="522000"/>
    <n v="39000"/>
    <n v="7.4712643678160925E-2"/>
    <s v="repracion int 329"/>
    <x v="10"/>
    <x v="0"/>
    <x v="52"/>
    <m/>
  </r>
  <r>
    <s v="javier rotela"/>
    <n v="415000"/>
    <n v="385000"/>
    <n v="30000"/>
    <n v="7.792207792207792E-2"/>
    <s v="reparacion int 74"/>
    <x v="10"/>
    <x v="0"/>
    <x v="52"/>
    <m/>
  </r>
  <r>
    <s v="Cristales mitre "/>
    <n v="87120"/>
    <n v="81675"/>
    <n v="5445"/>
    <n v="6.6666666666666666E-2"/>
    <s v="reparacion int 126"/>
    <x v="10"/>
    <x v="0"/>
    <x v="52"/>
    <m/>
  </r>
  <r>
    <s v="Cristales mitre "/>
    <n v="87120"/>
    <n v="84398"/>
    <n v="2722"/>
    <n v="3.2251949098319868E-2"/>
    <s v="reparacion int 140"/>
    <x v="10"/>
    <x v="0"/>
    <x v="52"/>
    <m/>
  </r>
  <r>
    <s v="Cristales mitre "/>
    <n v="173124"/>
    <n v="162435"/>
    <n v="10689"/>
    <n v="6.5804783451842278E-2"/>
    <s v="reparacion int 8"/>
    <x v="10"/>
    <x v="0"/>
    <x v="52"/>
    <m/>
  </r>
  <r>
    <s v="Cristales mitre "/>
    <n v="526592"/>
    <n v="493680"/>
    <n v="32912"/>
    <n v="6.6666666666666666E-2"/>
    <s v="reparacion int 38"/>
    <x v="10"/>
    <x v="0"/>
    <x v="52"/>
    <m/>
  </r>
  <r>
    <s v="Cristales mitre "/>
    <n v="795695"/>
    <n v="745966"/>
    <n v="49729"/>
    <n v="6.6663896209746831E-2"/>
    <s v="reparacion int 138"/>
    <x v="10"/>
    <x v="0"/>
    <x v="52"/>
    <m/>
  </r>
  <r>
    <s v="Cristales mitre "/>
    <n v="133584"/>
    <n v="125235"/>
    <n v="8349"/>
    <n v="6.6666666666666666E-2"/>
    <s v="reparacion int 82"/>
    <x v="10"/>
    <x v="0"/>
    <x v="52"/>
    <m/>
  </r>
  <r>
    <s v="veron julio "/>
    <n v="53580"/>
    <n v="37800"/>
    <n v="15780"/>
    <n v="0.41746031746031748"/>
    <s v="toner 105 hp alternativo "/>
    <x v="10"/>
    <x v="4"/>
    <x v="0"/>
    <m/>
  </r>
  <r>
    <s v="veron julio"/>
    <n v="35850000"/>
    <n v="32273000"/>
    <n v="3577000"/>
    <n v="0.11083568307873455"/>
    <s v="Expo IA"/>
    <x v="10"/>
    <x v="1"/>
    <x v="0"/>
    <m/>
  </r>
  <r>
    <s v="Ato group "/>
    <n v="1470000"/>
    <n v="1350000"/>
    <n v="120000"/>
    <n v="8.8888888888888892E-2"/>
    <s v="gazebos "/>
    <x v="10"/>
    <x v="19"/>
    <x v="117"/>
    <m/>
  </r>
  <r>
    <s v="iurisci "/>
    <n v="9030269"/>
    <n v="7719556"/>
    <n v="1310713"/>
    <n v="0.16979124187971434"/>
    <s v="ferreteria para carteleria"/>
    <x v="10"/>
    <x v="19"/>
    <x v="118"/>
    <m/>
  </r>
  <r>
    <s v="privada 63"/>
    <n v="31751060"/>
    <n v="20053713"/>
    <n v="11697347"/>
    <n v="0.58330080818449925"/>
    <s v="ferreteria "/>
    <x v="10"/>
    <x v="22"/>
    <x v="119"/>
    <m/>
  </r>
  <r>
    <s v="miguel marano"/>
    <n v="851840"/>
    <n v="826285"/>
    <n v="25555"/>
    <n v="3.0927585518313899E-2"/>
    <s v="reparacion int 175"/>
    <x v="10"/>
    <x v="22"/>
    <x v="52"/>
    <m/>
  </r>
  <r>
    <s v="miguel marano"/>
    <n v="2163530"/>
    <n v="2098623"/>
    <n v="64907"/>
    <n v="3.0928375415689241E-2"/>
    <s v="reparacion int 52-135-55-236"/>
    <x v="10"/>
    <x v="22"/>
    <x v="52"/>
    <m/>
  </r>
  <r>
    <s v="cristales mitre"/>
    <n v="3764030"/>
    <n v="3596561"/>
    <n v="167469"/>
    <n v="4.656364788474323E-2"/>
    <s v="reparacion int 388"/>
    <x v="10"/>
    <x v="22"/>
    <x v="52"/>
    <m/>
  </r>
  <r>
    <s v="cristales mitre"/>
    <n v="215828"/>
    <n v="200912"/>
    <n v="14916"/>
    <n v="7.4241458947200759E-2"/>
    <s v="reparacion int 216"/>
    <x v="10"/>
    <x v="22"/>
    <x v="52"/>
    <m/>
  </r>
  <r>
    <s v="cristales mitre"/>
    <n v="1181318"/>
    <n v="1137288"/>
    <n v="44030"/>
    <n v="3.8714907745443547E-2"/>
    <s v="reparacion int 4"/>
    <x v="10"/>
    <x v="22"/>
    <x v="52"/>
    <m/>
  </r>
  <r>
    <s v="cristales mitre"/>
    <n v="2242169"/>
    <n v="2117605"/>
    <n v="124564"/>
    <n v="5.8823057180163438E-2"/>
    <s v="reparacion int 388"/>
    <x v="10"/>
    <x v="22"/>
    <x v="52"/>
    <m/>
  </r>
  <r>
    <s v="veron marcelo"/>
    <n v="943530"/>
    <n v="882530"/>
    <n v="61000"/>
    <n v="6.9119463361018887E-2"/>
    <s v="heladera y microondas"/>
    <x v="10"/>
    <x v="22"/>
    <x v="120"/>
    <m/>
  </r>
  <r>
    <s v="ache "/>
    <n v="221850"/>
    <n v="170000"/>
    <n v="51850"/>
    <n v="0.30499999999999999"/>
    <s v="elementos para aires acondicionas "/>
    <x v="10"/>
    <x v="25"/>
    <x v="0"/>
    <m/>
  </r>
  <r>
    <s v="DICIEMBRE"/>
    <m/>
    <m/>
    <m/>
    <m/>
    <m/>
    <x v="1"/>
    <x v="1"/>
    <x v="0"/>
    <m/>
  </r>
  <r>
    <s v="rotela javier"/>
    <n v="730000"/>
    <n v="695000"/>
    <n v="35000"/>
    <n v="5.0359712230215826E-2"/>
    <s v="reparacion int 383"/>
    <x v="11"/>
    <x v="22"/>
    <x v="52"/>
    <n v="7401445.4000000004"/>
  </r>
  <r>
    <s v="rotela javier"/>
    <n v="432100"/>
    <n v="400000"/>
    <n v="32100"/>
    <n v="8.0250000000000002E-2"/>
    <s v="reparacion int 80"/>
    <x v="11"/>
    <x v="22"/>
    <x v="52"/>
    <m/>
  </r>
  <r>
    <s v="taller elasticos san miguel"/>
    <n v="1207580"/>
    <n v="1142201"/>
    <n v="65379"/>
    <n v="5.7239487620830309E-2"/>
    <s v="reparacion int 234"/>
    <x v="11"/>
    <x v="22"/>
    <x v="52"/>
    <m/>
  </r>
  <r>
    <s v="miguel marano"/>
    <n v="1419300"/>
    <n v="1376724"/>
    <n v="42576"/>
    <n v="3.0925588571129724E-2"/>
    <s v="reparacion int 234-116-218-119-112-212"/>
    <x v="11"/>
    <x v="22"/>
    <x v="52"/>
    <m/>
  </r>
  <r>
    <s v="cristales mitre"/>
    <n v="303952"/>
    <n v="284955"/>
    <n v="18997"/>
    <n v="6.6666666666666666E-2"/>
    <s v="reparacion int 210"/>
    <x v="11"/>
    <x v="22"/>
    <x v="52"/>
    <m/>
  </r>
  <r>
    <s v="taller elasticos san miguel"/>
    <n v="540628"/>
    <n v="513596.6"/>
    <n v="27031.400000000023"/>
    <n v="5.2631578947368467E-2"/>
    <s v="reparacion int 218"/>
    <x v="11"/>
    <x v="22"/>
    <x v="52"/>
    <m/>
  </r>
  <r>
    <s v="taller elasticos san miguel"/>
    <n v="723580"/>
    <n v="687401"/>
    <n v="36179"/>
    <n v="5.2631578947368418E-2"/>
    <s v="reparcion carreton "/>
    <x v="11"/>
    <x v="22"/>
    <x v="52"/>
    <m/>
  </r>
  <r>
    <s v="leyro atilio"/>
    <n v="2025000"/>
    <n v="1814000"/>
    <n v="211000"/>
    <n v="0.11631753031973539"/>
    <s v="barras led int 388"/>
    <x v="11"/>
    <x v="22"/>
    <x v="52"/>
    <m/>
  </r>
  <r>
    <s v="Quinteros Juan C"/>
    <n v="1818350"/>
    <n v="1540720"/>
    <n v="277630"/>
    <n v="0.18019497377849317"/>
    <s v="Articulos de libreria "/>
    <x v="11"/>
    <x v="24"/>
    <x v="121"/>
    <m/>
  </r>
  <r>
    <s v="Marcelo Veron "/>
    <n v="54856640"/>
    <n v="54400755"/>
    <n v="455885"/>
    <n v="8.3801226655769757E-3"/>
    <s v="Articulos de robotica"/>
    <x v="11"/>
    <x v="24"/>
    <x v="121"/>
    <m/>
  </r>
  <r>
    <s v="grafica ramlil"/>
    <n v="529500"/>
    <n v="476550"/>
    <n v="52950"/>
    <n v="0.1111111111111111"/>
    <s v="ploteo int 419"/>
    <x v="11"/>
    <x v="24"/>
    <x v="79"/>
    <m/>
  </r>
  <r>
    <s v="rotela diego "/>
    <n v="724000"/>
    <n v="660000"/>
    <n v="64000"/>
    <n v="9.696969696969697E-2"/>
    <s v="reparacion int 192"/>
    <x v="11"/>
    <x v="22"/>
    <x v="52"/>
    <m/>
  </r>
  <r>
    <s v="rotela diego "/>
    <n v="1803000"/>
    <n v="1700000"/>
    <n v="103000"/>
    <n v="6.0588235294117644E-2"/>
    <s v="reparacion int 6"/>
    <x v="11"/>
    <x v="22"/>
    <x v="52"/>
    <m/>
  </r>
  <r>
    <s v="cristales mitre"/>
    <n v="505156"/>
    <n v="478528"/>
    <n v="26628"/>
    <n v="5.5645646649725829E-2"/>
    <s v="reparacion int 229"/>
    <x v="11"/>
    <x v="22"/>
    <x v="52"/>
    <m/>
  </r>
  <r>
    <s v="cristales mitre"/>
    <n v="904376"/>
    <n v="854936"/>
    <n v="49440"/>
    <n v="5.7828890115751354E-2"/>
    <s v="reparacion int 198"/>
    <x v="11"/>
    <x v="22"/>
    <x v="52"/>
    <m/>
  </r>
  <r>
    <s v="cristales mitre"/>
    <n v="393960"/>
    <n v="368095"/>
    <n v="25865"/>
    <n v="7.0267186460017117E-2"/>
    <s v="reparacion int 305"/>
    <x v="11"/>
    <x v="22"/>
    <x v="52"/>
    <m/>
  </r>
  <r>
    <s v="cristales mitre"/>
    <n v="42500"/>
    <n v="40375"/>
    <n v="2125"/>
    <n v="5.2631578947368418E-2"/>
    <s v="reparacion int 123"/>
    <x v="11"/>
    <x v="22"/>
    <x v="52"/>
    <m/>
  </r>
  <r>
    <s v="cristales mitre"/>
    <n v="288000"/>
    <n v="270000"/>
    <n v="18000"/>
    <n v="6.6666666666666666E-2"/>
    <s v="reparacion int 87"/>
    <x v="11"/>
    <x v="22"/>
    <x v="52"/>
    <m/>
  </r>
  <r>
    <s v="Veron Marcelo "/>
    <n v="5945740"/>
    <n v="5610400"/>
    <n v="335340"/>
    <n v="5.9771139312704974E-2"/>
    <s v="Materiales Informaticos "/>
    <x v="11"/>
    <x v="35"/>
    <x v="0"/>
    <m/>
  </r>
  <r>
    <s v="emprendimientos mall / pepan"/>
    <n v="53326820"/>
    <n v="47804500"/>
    <n v="5522320"/>
    <n v="0.1155188319091299"/>
    <s v="indumentaria p/ seguridad vial"/>
    <x v="11"/>
    <x v="8"/>
    <x v="12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n v="1676428"/>
    <n v="1624291"/>
    <n v="52137"/>
    <n v="3.2098312432932277E-2"/>
    <s v="repuestos int 208"/>
    <x v="0"/>
    <x v="0"/>
    <x v="0"/>
  </r>
  <r>
    <x v="0"/>
    <n v="864351"/>
    <n v="839761"/>
    <n v="24590"/>
    <n v="2.9282140990115044E-2"/>
    <s v="repuestos int 66"/>
    <x v="0"/>
    <x v="0"/>
    <x v="0"/>
  </r>
  <r>
    <x v="0"/>
    <n v="4592133"/>
    <n v="4457073"/>
    <n v="135060"/>
    <n v="3.0302398008738022E-2"/>
    <s v="respuestos int 144, 111, 221, 218, 215, 118, 126, 123, 127, 55, 97, 45, 46, 68, 38, 66, 112 "/>
    <x v="0"/>
    <x v="0"/>
    <x v="0"/>
  </r>
  <r>
    <x v="0"/>
    <n v="2671862"/>
    <n v="2591469"/>
    <n v="80393"/>
    <n v="3.1022173138092718E-2"/>
    <s v="repuestos int 92, 90, 87, 219, 121, 348, 220, 121, 200, 69, 234, 97, 95, 188, 315"/>
    <x v="0"/>
    <x v="0"/>
    <x v="0"/>
  </r>
  <r>
    <x v="1"/>
    <n v="3730500"/>
    <n v="3552000"/>
    <n v="178500"/>
    <n v="5.0253378378378379E-2"/>
    <s v="reparacion int 137"/>
    <x v="0"/>
    <x v="0"/>
    <x v="0"/>
  </r>
  <r>
    <x v="1"/>
    <n v="8485000"/>
    <n v="8080000"/>
    <n v="405000"/>
    <n v="5.0123762376237627E-2"/>
    <s v="reparacion int 137"/>
    <x v="0"/>
    <x v="0"/>
    <x v="0"/>
  </r>
  <r>
    <x v="1"/>
    <n v="6197600"/>
    <n v="5902000"/>
    <n v="295600"/>
    <n v="5.008471704506947E-2"/>
    <s v="reparacion int 138"/>
    <x v="0"/>
    <x v="0"/>
    <x v="0"/>
  </r>
  <r>
    <x v="1"/>
    <n v="2167200"/>
    <n v="2063500"/>
    <n v="103700"/>
    <n v="5.0254422098376543E-2"/>
    <s v="reparacion int 210"/>
    <x v="0"/>
    <x v="0"/>
    <x v="0"/>
  </r>
  <r>
    <x v="1"/>
    <n v="9224500"/>
    <n v="8785000"/>
    <n v="439500"/>
    <n v="5.0028457598178713E-2"/>
    <s v="reparacion int 210"/>
    <x v="0"/>
    <x v="0"/>
    <x v="0"/>
  </r>
  <r>
    <x v="1"/>
    <n v="9810500"/>
    <n v="9343000"/>
    <n v="467500"/>
    <n v="5.0037461200899067E-2"/>
    <s v="reparacion int 234"/>
    <x v="0"/>
    <x v="0"/>
    <x v="0"/>
  </r>
  <r>
    <x v="0"/>
    <n v="4078340"/>
    <n v="3958389"/>
    <n v="119951"/>
    <n v="3.0302984370661902E-2"/>
    <s v="repuestos int varios "/>
    <x v="0"/>
    <x v="0"/>
    <x v="0"/>
  </r>
  <r>
    <x v="0"/>
    <n v="864230"/>
    <n v="837223"/>
    <n v="27007"/>
    <n v="3.2257833337115682E-2"/>
    <s v="repuestos int 206"/>
    <x v="0"/>
    <x v="0"/>
    <x v="0"/>
  </r>
  <r>
    <x v="0"/>
    <n v="6264357"/>
    <n v="6072588"/>
    <n v="191769"/>
    <n v="3.1579451792217751E-2"/>
    <s v="repuestos int 387"/>
    <x v="0"/>
    <x v="0"/>
    <x v="0"/>
  </r>
  <r>
    <x v="0"/>
    <n v="5657130"/>
    <n v="5484733"/>
    <n v="172397"/>
    <n v="3.1432159049492474E-2"/>
    <s v="repuestos int 112"/>
    <x v="0"/>
    <x v="0"/>
    <x v="0"/>
  </r>
  <r>
    <x v="0"/>
    <n v="2520635"/>
    <n v="2441252"/>
    <n v="79383"/>
    <n v="3.251733127100357E-2"/>
    <s v="repuestos int 382"/>
    <x v="0"/>
    <x v="0"/>
    <x v="0"/>
  </r>
  <r>
    <x v="0"/>
    <n v="905727"/>
    <n v="880101"/>
    <n v="25626"/>
    <n v="2.9117112695020229E-2"/>
    <s v="repuetos int varios"/>
    <x v="0"/>
    <x v="0"/>
    <x v="0"/>
  </r>
  <r>
    <x v="0"/>
    <n v="2383725"/>
    <n v="2301175"/>
    <n v="82550"/>
    <n v="3.5872977935185284E-2"/>
    <s v="respuestos int 157"/>
    <x v="0"/>
    <x v="0"/>
    <x v="0"/>
  </r>
  <r>
    <x v="0"/>
    <n v="5061041"/>
    <n v="4877993"/>
    <n v="183048"/>
    <n v="3.7525269101452173E-2"/>
    <s v="repuestos int 181"/>
    <x v="0"/>
    <x v="0"/>
    <x v="0"/>
  </r>
  <r>
    <x v="0"/>
    <n v="1078000"/>
    <n v="1024100"/>
    <n v="53900"/>
    <n v="5.2631578947368418E-2"/>
    <s v="repuestos int 316"/>
    <x v="0"/>
    <x v="0"/>
    <x v="0"/>
  </r>
  <r>
    <x v="0"/>
    <n v="995338"/>
    <n v="965001"/>
    <n v="30337"/>
    <n v="3.1437273121996762E-2"/>
    <s v="respuestos int 180"/>
    <x v="0"/>
    <x v="0"/>
    <x v="0"/>
  </r>
  <r>
    <x v="0"/>
    <n v="4190021"/>
    <n v="4063138"/>
    <n v="126883"/>
    <n v="3.1227834250276511E-2"/>
    <s v="respuestos int varios "/>
    <x v="0"/>
    <x v="0"/>
    <x v="0"/>
  </r>
  <r>
    <x v="0"/>
    <n v="7164613"/>
    <n v="6952369"/>
    <n v="212244"/>
    <n v="3.0528299058925096E-2"/>
    <s v="respuestos int varios "/>
    <x v="0"/>
    <x v="0"/>
    <x v="0"/>
  </r>
  <r>
    <x v="2"/>
    <n v="5050000"/>
    <n v="4800000"/>
    <n v="250000"/>
    <n v="5.2083333333333336E-2"/>
    <s v="repuestos int 138 y 93"/>
    <x v="0"/>
    <x v="0"/>
    <x v="0"/>
  </r>
  <r>
    <x v="2"/>
    <n v="1770000"/>
    <n v="1685000"/>
    <n v="85000"/>
    <n v="5.0445103857566766E-2"/>
    <s v="repuestos int 112 y 234"/>
    <x v="0"/>
    <x v="0"/>
    <x v="0"/>
  </r>
  <r>
    <x v="2"/>
    <n v="4270000"/>
    <n v="4055000"/>
    <n v="215000"/>
    <n v="5.3020961775585698E-2"/>
    <s v="repuestos int 127 y 123"/>
    <x v="0"/>
    <x v="0"/>
    <x v="0"/>
  </r>
  <r>
    <x v="2"/>
    <n v="3080000"/>
    <n v="2930000"/>
    <n v="150000"/>
    <n v="5.1194539249146756E-2"/>
    <s v="repuestos int 39"/>
    <x v="0"/>
    <x v="0"/>
    <x v="0"/>
  </r>
  <r>
    <x v="2"/>
    <n v="4980000"/>
    <n v="4740000"/>
    <n v="240000"/>
    <n v="5.0632911392405063E-2"/>
    <s v="repuestos int 66 y 79"/>
    <x v="0"/>
    <x v="0"/>
    <x v="0"/>
  </r>
  <r>
    <x v="3"/>
    <n v="7997000"/>
    <n v="7597150"/>
    <n v="399850"/>
    <n v="5.2631578947368418E-2"/>
    <s v="reparacion int varios"/>
    <x v="0"/>
    <x v="0"/>
    <x v="0"/>
  </r>
  <r>
    <x v="4"/>
    <n v="26732190"/>
    <n v="24177000"/>
    <n v="2555190"/>
    <n v="0.10568680977788808"/>
    <s v="reparacion RoofTop n°11, 14 y 15"/>
    <x v="0"/>
    <x v="1"/>
    <x v="1"/>
  </r>
  <r>
    <x v="5"/>
    <n v="8993000"/>
    <n v="7971000"/>
    <n v="1022000"/>
    <n v="0.12821477857232469"/>
    <s v="Alimentos para curso de gastronomia "/>
    <x v="0"/>
    <x v="2"/>
    <x v="2"/>
  </r>
  <r>
    <x v="6"/>
    <n v="807000"/>
    <n v="785000"/>
    <n v="22000"/>
    <n v="2.802547770700637E-2"/>
    <s v="heladera con freezer telefunken 220lts"/>
    <x v="0"/>
    <x v="3"/>
    <x v="1"/>
  </r>
  <r>
    <x v="7"/>
    <n v="5371200"/>
    <n v="5048928"/>
    <n v="322272"/>
    <n v="6.3829787234042548E-2"/>
    <s v="Reparaciones Int 031-130"/>
    <x v="0"/>
    <x v="0"/>
    <x v="3"/>
  </r>
  <r>
    <x v="7"/>
    <n v="6168000"/>
    <n v="5797920"/>
    <n v="370080"/>
    <n v="6.3829787234042548E-2"/>
    <s v="Reparaciones Int 022-182"/>
    <x v="0"/>
    <x v="0"/>
    <x v="3"/>
  </r>
  <r>
    <x v="8"/>
    <n v="856000"/>
    <n v="546000"/>
    <n v="310000"/>
    <n v="0.56776556776556775"/>
    <s v="nivel optico bosch gold 26"/>
    <x v="0"/>
    <x v="0"/>
    <x v="1"/>
  </r>
  <r>
    <x v="4"/>
    <n v="4950000"/>
    <n v="4049054"/>
    <n v="900946"/>
    <n v="0.22250777589036846"/>
    <s v="mantenimiento COM"/>
    <x v="0"/>
    <x v="2"/>
    <x v="4"/>
  </r>
  <r>
    <x v="4"/>
    <n v="858100"/>
    <n v="636213"/>
    <n v="221887"/>
    <n v="0.34876212840668142"/>
    <s v="movimiento de equipo COM"/>
    <x v="0"/>
    <x v="2"/>
    <x v="4"/>
  </r>
  <r>
    <x v="4"/>
    <n v="3220000"/>
    <n v="2947560"/>
    <n v="272440"/>
    <n v="9.242899211551249E-2"/>
    <s v="mantenimiento Postas Policiales"/>
    <x v="0"/>
    <x v="2"/>
    <x v="4"/>
  </r>
  <r>
    <x v="4"/>
    <n v="20075859"/>
    <n v="17000393"/>
    <n v="3075466"/>
    <n v="0.18090558259447295"/>
    <s v="mano de obra p/ desinstalar aire split e instalar piso techo de 15000"/>
    <x v="0"/>
    <x v="2"/>
    <x v="4"/>
  </r>
  <r>
    <x v="9"/>
    <n v="5898840"/>
    <n v="5668640"/>
    <n v="230200"/>
    <n v="4.0609387789663838E-2"/>
    <s v="mecanica automotor"/>
    <x v="0"/>
    <x v="2"/>
    <x v="5"/>
  </r>
  <r>
    <x v="10"/>
    <n v="5665400"/>
    <n v="5440980"/>
    <n v="224420"/>
    <n v="4.1246246080669291E-2"/>
    <s v="utiles p/ las escuelas primarias"/>
    <x v="0"/>
    <x v="2"/>
    <x v="5"/>
  </r>
  <r>
    <x v="4"/>
    <n v="17000393"/>
    <n v="15778987"/>
    <n v="1221406"/>
    <n v="7.740712379064639E-2"/>
    <s v="mantenimiento aires "/>
    <x v="0"/>
    <x v="2"/>
    <x v="4"/>
  </r>
  <r>
    <x v="6"/>
    <n v="403000"/>
    <n v="371000"/>
    <n v="32000"/>
    <n v="8.6253369272237201E-2"/>
    <s v="gazebo 3x3"/>
    <x v="0"/>
    <x v="2"/>
    <x v="5"/>
  </r>
  <r>
    <x v="4"/>
    <n v="8576455"/>
    <n v="8070381"/>
    <n v="506074"/>
    <n v="6.2707572294294411E-2"/>
    <s v="provision de 2 aires acondicionados "/>
    <x v="0"/>
    <x v="4"/>
    <x v="6"/>
  </r>
  <r>
    <x v="11"/>
    <n v="4800000"/>
    <n v="4000000"/>
    <n v="800000"/>
    <n v="0.2"/>
    <s v="Puesta en Valor p/ V.T.V. p/ Motovehículos Corven Triax 150"/>
    <x v="0"/>
    <x v="2"/>
    <x v="7"/>
  </r>
  <r>
    <x v="12"/>
    <n v="3907248"/>
    <n v="3798704"/>
    <n v="108544"/>
    <n v="2.8573955749118647E-2"/>
    <s v="provision de elementos presupuesto  MITRE  N° 3562._x000a_"/>
    <x v="0"/>
    <x v="0"/>
    <x v="3"/>
  </r>
  <r>
    <x v="12"/>
    <n v="2991166"/>
    <n v="2912891"/>
    <n v="78275"/>
    <n v="2.6871928953057289E-2"/>
    <s v="provision de elementos presupuesto  MITRE  N° 3514._x000a_"/>
    <x v="0"/>
    <x v="0"/>
    <x v="3"/>
  </r>
  <r>
    <x v="12"/>
    <n v="481890"/>
    <n v="468510"/>
    <n v="13380"/>
    <n v="2.8558622014471409E-2"/>
    <s v="provision de elementos presupuesto  MITRE  N° 3552._x000a_"/>
    <x v="0"/>
    <x v="0"/>
    <x v="3"/>
  </r>
  <r>
    <x v="13"/>
    <n v="15814710"/>
    <n v="15340300"/>
    <n v="474410"/>
    <n v="3.0925731569786771E-2"/>
    <s v="Reparacion compactador dynapac dominio ayr74 int 135"/>
    <x v="0"/>
    <x v="0"/>
    <x v="3"/>
  </r>
  <r>
    <x v="13"/>
    <n v="12256480"/>
    <n v="11885700"/>
    <n v="370780"/>
    <n v="3.1195470186863205E-2"/>
    <s v="Reparacion compactador dynapac dominio ayr74 int 136"/>
    <x v="0"/>
    <x v="0"/>
    <x v="3"/>
  </r>
  <r>
    <x v="13"/>
    <n v="6671850"/>
    <n v="6471520"/>
    <n v="200330"/>
    <n v="3.0955633297896013E-2"/>
    <s v="prov de respiradores y correas. Presu N°2489 "/>
    <x v="0"/>
    <x v="0"/>
    <x v="3"/>
  </r>
  <r>
    <x v="14"/>
    <n v="18170100"/>
    <n v="17673700"/>
    <n v="496400"/>
    <n v="2.8086931429185738E-2"/>
    <s v="limpieza 1er cuatri CDI"/>
    <x v="0"/>
    <x v="2"/>
    <x v="5"/>
  </r>
  <r>
    <x v="15"/>
    <n v="5668640"/>
    <n v="5385500"/>
    <n v="283140"/>
    <n v="5.2574505616934358E-2"/>
    <s v="mecanica automotor CME"/>
    <x v="0"/>
    <x v="2"/>
    <x v="5"/>
  </r>
  <r>
    <x v="16"/>
    <n v="5440980"/>
    <n v="4923480"/>
    <n v="517500"/>
    <n v="0.10510858173487046"/>
    <s v="caja vuelta al cole "/>
    <x v="0"/>
    <x v="2"/>
    <x v="5"/>
  </r>
  <r>
    <x v="17"/>
    <m/>
    <m/>
    <m/>
    <m/>
    <m/>
    <x v="1"/>
    <x v="5"/>
    <x v="1"/>
  </r>
  <r>
    <x v="18"/>
    <n v="8110000"/>
    <n v="7700000"/>
    <n v="410000"/>
    <n v="5.3246753246753244E-2"/>
    <s v="reparaciones de minicargadoras int 176, 123, 127, 74, 138, 388"/>
    <x v="2"/>
    <x v="0"/>
    <x v="0"/>
  </r>
  <r>
    <x v="19"/>
    <n v="6300000"/>
    <n v="6000000"/>
    <n v="300000"/>
    <n v="0.05"/>
    <s v="mobiliario y tecnologia faltas"/>
    <x v="2"/>
    <x v="2"/>
    <x v="8"/>
  </r>
  <r>
    <x v="19"/>
    <n v="610250"/>
    <n v="518712.5"/>
    <n v="91537.5"/>
    <n v="0.17647058823529413"/>
    <s v="menaje cafeteria"/>
    <x v="2"/>
    <x v="3"/>
    <x v="9"/>
  </r>
  <r>
    <x v="20"/>
    <n v="14366700"/>
    <n v="12930030"/>
    <n v="1436670"/>
    <n v="0.1111111111111111"/>
    <s v="material deportivo crim"/>
    <x v="2"/>
    <x v="6"/>
    <x v="10"/>
  </r>
  <r>
    <x v="21"/>
    <n v="3057600"/>
    <n v="2870600"/>
    <n v="187000"/>
    <n v="6.5143175642722775E-2"/>
    <s v="alimentos cim y serv. local"/>
    <x v="2"/>
    <x v="6"/>
    <x v="11"/>
  </r>
  <r>
    <x v="22"/>
    <n v="4037419"/>
    <n v="3763019"/>
    <n v="274400"/>
    <n v="7.2920173934811386E-2"/>
    <s v="equipamiento de oficina "/>
    <x v="2"/>
    <x v="6"/>
    <x v="12"/>
  </r>
  <r>
    <x v="23"/>
    <n v="106970000"/>
    <n v="98433000"/>
    <n v="8537000"/>
    <n v="8.6729044121382062E-2"/>
    <s v="insumos p/ cuadrilla mant. escolar"/>
    <x v="2"/>
    <x v="6"/>
    <x v="5"/>
  </r>
  <r>
    <x v="24"/>
    <n v="2658380"/>
    <n v="2475080"/>
    <n v="183300"/>
    <n v="7.4058212259805745E-2"/>
    <s v="computadoras para poli brian toledo"/>
    <x v="2"/>
    <x v="6"/>
    <x v="10"/>
  </r>
  <r>
    <x v="15"/>
    <n v="3767300"/>
    <n v="3581000"/>
    <n v="186300"/>
    <n v="5.2024574141301315E-2"/>
    <s v="insumos p/ cuadrilla mant. escolar"/>
    <x v="2"/>
    <x v="6"/>
    <x v="5"/>
  </r>
  <r>
    <x v="25"/>
    <n v="610250"/>
    <n v="518712.5"/>
    <n v="91537.5"/>
    <n v="0.17647058823529413"/>
    <s v="menaje p/ dir. gral de obras"/>
    <x v="2"/>
    <x v="3"/>
    <x v="13"/>
  </r>
  <r>
    <x v="25"/>
    <n v="6300000"/>
    <n v="6000000"/>
    <n v="300000"/>
    <n v="0.05"/>
    <s v="mobiliario y equipamiento de oficina"/>
    <x v="2"/>
    <x v="2"/>
    <x v="14"/>
  </r>
  <r>
    <x v="26"/>
    <n v="6522900"/>
    <n v="6315300"/>
    <n v="207600"/>
    <n v="3.287254762244074E-2"/>
    <s v="limpieza CAM"/>
    <x v="2"/>
    <x v="2"/>
    <x v="15"/>
  </r>
  <r>
    <x v="27"/>
    <n v="5440980"/>
    <n v="4881310"/>
    <n v="559670"/>
    <n v="0.1146556969338149"/>
    <s v="caja vuelta al cole "/>
    <x v="2"/>
    <x v="6"/>
    <x v="5"/>
  </r>
  <r>
    <x v="13"/>
    <n v="3209520"/>
    <n v="3127210"/>
    <n v="82310"/>
    <n v="2.6320586081523146E-2"/>
    <s v="repuestos p/ int 149, 79, 80  y 6"/>
    <x v="2"/>
    <x v="0"/>
    <x v="0"/>
  </r>
  <r>
    <x v="13"/>
    <n v="8675320"/>
    <n v="8415510"/>
    <n v="259810"/>
    <n v="3.0872757563118577E-2"/>
    <s v="reparacion int 80"/>
    <x v="2"/>
    <x v="0"/>
    <x v="0"/>
  </r>
  <r>
    <x v="13"/>
    <n v="3660310"/>
    <n v="3550420"/>
    <n v="109890"/>
    <n v="3.0951267737338119E-2"/>
    <s v="repuestos p/ int 176 y 81"/>
    <x v="2"/>
    <x v="0"/>
    <x v="0"/>
  </r>
  <r>
    <x v="13"/>
    <n v="5830260"/>
    <n v="5655520"/>
    <n v="174740"/>
    <n v="3.0897247291142106E-2"/>
    <s v="reparacion int 79"/>
    <x v="2"/>
    <x v="0"/>
    <x v="0"/>
  </r>
  <r>
    <x v="13"/>
    <n v="9933660"/>
    <n v="9635650"/>
    <n v="298010"/>
    <n v="3.0927856449746514E-2"/>
    <s v="reparacion int 52 y 81"/>
    <x v="2"/>
    <x v="0"/>
    <x v="0"/>
  </r>
  <r>
    <x v="13"/>
    <n v="9177270"/>
    <n v="8902150"/>
    <n v="275120"/>
    <n v="3.0904893761619385E-2"/>
    <s v="reparacion int 81"/>
    <x v="2"/>
    <x v="0"/>
    <x v="0"/>
  </r>
  <r>
    <x v="13"/>
    <n v="7777460"/>
    <n v="7544175"/>
    <n v="233285"/>
    <n v="3.0922532947605271E-2"/>
    <s v="reparacion int 81"/>
    <x v="2"/>
    <x v="0"/>
    <x v="0"/>
  </r>
  <r>
    <x v="0"/>
    <n v="1683503"/>
    <n v="1637373"/>
    <n v="46130"/>
    <n v="2.8173177400628933E-2"/>
    <s v="repuestos p/ int 182, 228, 218, 213, 45, 97, 176"/>
    <x v="2"/>
    <x v="0"/>
    <x v="0"/>
  </r>
  <r>
    <x v="0"/>
    <n v="1772348"/>
    <n v="1723343"/>
    <n v="49005"/>
    <n v="2.8436010707096615E-2"/>
    <s v="reparacion int 200, 201, 178"/>
    <x v="2"/>
    <x v="0"/>
    <x v="0"/>
  </r>
  <r>
    <x v="0"/>
    <n v="1378367"/>
    <n v="1341804"/>
    <n v="36563"/>
    <n v="2.7249136237483269E-2"/>
    <s v="repuestos p/ int 194, 231, 226, 210 , 199, 65, 38, 68, ,66, 46, 35, 344"/>
    <x v="2"/>
    <x v="0"/>
    <x v="0"/>
  </r>
  <r>
    <x v="0"/>
    <n v="4384795"/>
    <n v="4258835"/>
    <n v="125960"/>
    <n v="2.9576163434366441E-2"/>
    <s v="espejos exteriores p/ int 385"/>
    <x v="2"/>
    <x v="0"/>
    <x v="0"/>
  </r>
  <r>
    <x v="28"/>
    <n v="4200000"/>
    <n v="3800000"/>
    <n v="400000"/>
    <n v="0.10526315789473684"/>
    <s v="puesta en valor para VTV int 503, 193, 158, 211"/>
    <x v="2"/>
    <x v="2"/>
    <x v="16"/>
  </r>
  <r>
    <x v="29"/>
    <n v="3554090"/>
    <n v="3198681"/>
    <n v="355409"/>
    <n v="0.1111111111111111"/>
    <s v="materiales informaticos para sala de datos"/>
    <x v="2"/>
    <x v="2"/>
    <x v="4"/>
  </r>
  <r>
    <x v="24"/>
    <n v="2941120"/>
    <n v="2647000"/>
    <n v="294120"/>
    <n v="0.11111446921042689"/>
    <s v="cortadora de pelo a6 oster "/>
    <x v="2"/>
    <x v="2"/>
    <x v="17"/>
  </r>
  <r>
    <x v="30"/>
    <n v="2520629.21"/>
    <n v="2400659"/>
    <n v="119970.20999999996"/>
    <n v="4.9973865509428853E-2"/>
    <s v="filtros p/ int 495, 496, 497, 557, 558, 559"/>
    <x v="2"/>
    <x v="0"/>
    <x v="0"/>
  </r>
  <r>
    <x v="24"/>
    <n v="1762800"/>
    <n v="1386520"/>
    <n v="376280"/>
    <n v="0.271384473357759"/>
    <s v="Sillas "/>
    <x v="2"/>
    <x v="7"/>
    <x v="1"/>
  </r>
  <r>
    <x v="31"/>
    <n v="8580000"/>
    <n v="8050000"/>
    <n v="530000"/>
    <n v="6.5838509316770183E-2"/>
    <s v="minitramps y resortes "/>
    <x v="2"/>
    <x v="2"/>
    <x v="10"/>
  </r>
  <r>
    <x v="32"/>
    <n v="8203416"/>
    <n v="8068416"/>
    <n v="135000"/>
    <n v="1.6731908716655166E-2"/>
    <s v="equipamiento para oficina "/>
    <x v="2"/>
    <x v="2"/>
    <x v="5"/>
  </r>
  <r>
    <x v="33"/>
    <n v="713000"/>
    <n v="649000"/>
    <n v="64000"/>
    <n v="9.861325115562404E-2"/>
    <s v="insumos para mant. en el CAM"/>
    <x v="2"/>
    <x v="2"/>
    <x v="15"/>
  </r>
  <r>
    <x v="34"/>
    <n v="28121000"/>
    <n v="26749250"/>
    <n v="1371750"/>
    <n v="5.1281811639578678E-2"/>
    <s v="indumentaria para el same "/>
    <x v="2"/>
    <x v="8"/>
    <x v="18"/>
  </r>
  <r>
    <x v="24"/>
    <n v="20450000"/>
    <n v="18814000"/>
    <n v="1636000"/>
    <n v="8.6956521739130432E-2"/>
    <s v="Ventiladores industriales 30&quot; "/>
    <x v="2"/>
    <x v="2"/>
    <x v="5"/>
  </r>
  <r>
    <x v="24"/>
    <n v="870000"/>
    <n v="564420"/>
    <n v="305580"/>
    <n v="0.54140533645157862"/>
    <s v="Ventiladores industriales 30&quot; "/>
    <x v="2"/>
    <x v="8"/>
    <x v="19"/>
  </r>
  <r>
    <x v="35"/>
    <n v="809990"/>
    <n v="799900"/>
    <n v="10090"/>
    <n v="1.261407675959495E-2"/>
    <s v="cubierta p/ bobcat"/>
    <x v="2"/>
    <x v="0"/>
    <x v="0"/>
  </r>
  <r>
    <x v="0"/>
    <n v="5886584"/>
    <n v="5702632"/>
    <n v="183952"/>
    <n v="3.2257385712421913E-2"/>
    <s v="repuestos p/ int 231, 212, 215, 216,45 y 115"/>
    <x v="2"/>
    <x v="0"/>
    <x v="0"/>
  </r>
  <r>
    <x v="0"/>
    <n v="7129236"/>
    <n v="6906450"/>
    <n v="222786"/>
    <n v="3.2257672176009382E-2"/>
    <s v="repuestos p/ int 231, 212, 215, 216, 45 y 115"/>
    <x v="2"/>
    <x v="0"/>
    <x v="0"/>
  </r>
  <r>
    <x v="36"/>
    <n v="11560000"/>
    <n v="11060000"/>
    <n v="500000"/>
    <n v="4.5207956600361664E-2"/>
    <s v="repracion p/ int varios "/>
    <x v="2"/>
    <x v="0"/>
    <x v="0"/>
  </r>
  <r>
    <x v="24"/>
    <n v="1020000"/>
    <n v="886920"/>
    <n v="133080"/>
    <n v="0.15004735489108376"/>
    <s v="marcos de cuadros "/>
    <x v="2"/>
    <x v="3"/>
    <x v="1"/>
  </r>
  <r>
    <x v="24"/>
    <n v="5514510"/>
    <n v="5131200"/>
    <n v="383310"/>
    <n v="7.470182413470533E-2"/>
    <s v="pc completa + monitor "/>
    <x v="2"/>
    <x v="9"/>
    <x v="1"/>
  </r>
  <r>
    <x v="37"/>
    <n v="1200000"/>
    <n v="980000"/>
    <n v="220000"/>
    <n v="0.22448979591836735"/>
    <s v="mantenimiento de aberturas"/>
    <x v="2"/>
    <x v="2"/>
    <x v="15"/>
  </r>
  <r>
    <x v="38"/>
    <n v="30160000"/>
    <n v="14975000"/>
    <n v="15185000"/>
    <n v="1.0140233722871452"/>
    <s v="fenolicos pav x admin 120 cuadras P.O"/>
    <x v="2"/>
    <x v="0"/>
    <x v="20"/>
  </r>
  <r>
    <x v="39"/>
    <n v="4900000"/>
    <n v="4655000"/>
    <n v="245000"/>
    <n v="5.2631578947368418E-2"/>
    <s v="instalacion de caldera htal. Drozdowski"/>
    <x v="2"/>
    <x v="8"/>
    <x v="1"/>
  </r>
  <r>
    <x v="39"/>
    <n v="8800000"/>
    <n v="8000000"/>
    <n v="800000"/>
    <n v="0.1"/>
    <s v="caldera p/ htal Drozdowski"/>
    <x v="2"/>
    <x v="8"/>
    <x v="1"/>
  </r>
  <r>
    <x v="40"/>
    <n v="6970000"/>
    <n v="6420000"/>
    <n v="550000"/>
    <n v="8.566978193146417E-2"/>
    <s v="pileta quirofano + girferia p/ sector 3"/>
    <x v="2"/>
    <x v="8"/>
    <x v="21"/>
  </r>
  <r>
    <x v="40"/>
    <n v="5480000"/>
    <n v="5020000"/>
    <n v="460000"/>
    <n v="9.1633466135458169E-2"/>
    <s v="pileta quirofano + girferia p/ sector 2"/>
    <x v="2"/>
    <x v="8"/>
    <x v="21"/>
  </r>
  <r>
    <x v="40"/>
    <n v="5480000"/>
    <n v="5020000"/>
    <n v="460000"/>
    <n v="9.1633466135458169E-2"/>
    <s v="pileta quirofano + girferia p/ sector 1"/>
    <x v="2"/>
    <x v="8"/>
    <x v="21"/>
  </r>
  <r>
    <x v="40"/>
    <n v="5480000"/>
    <n v="5020000"/>
    <n v="460000"/>
    <n v="9.1633466135458169E-2"/>
    <s v="pileta quirofano + girferia p/ sector materno"/>
    <x v="2"/>
    <x v="8"/>
    <x v="21"/>
  </r>
  <r>
    <x v="41"/>
    <n v="3684450"/>
    <n v="3524000"/>
    <n v="160450"/>
    <n v="4.5530646992054481E-2"/>
    <s v="insumos de ferreteria COM"/>
    <x v="2"/>
    <x v="2"/>
    <x v="4"/>
  </r>
  <r>
    <x v="24"/>
    <n v="781250"/>
    <n v="728560"/>
    <n v="52690"/>
    <n v="7.2320742286153511E-2"/>
    <s v="bibliotca y ventilador "/>
    <x v="2"/>
    <x v="4"/>
    <x v="22"/>
  </r>
  <r>
    <x v="24"/>
    <n v="3818760"/>
    <n v="3551447"/>
    <n v="267313"/>
    <n v="7.5268756650458249E-2"/>
    <s v="equipamiento oficina "/>
    <x v="2"/>
    <x v="4"/>
    <x v="23"/>
  </r>
  <r>
    <x v="24"/>
    <n v="409680"/>
    <n v="383040"/>
    <n v="26640"/>
    <n v="6.9548872180451124E-2"/>
    <s v="monitor + cable hdmi"/>
    <x v="2"/>
    <x v="4"/>
    <x v="23"/>
  </r>
  <r>
    <x v="34"/>
    <n v="15830725"/>
    <n v="15273275"/>
    <n v="557450"/>
    <n v="3.6498393435592566E-2"/>
    <s v="indumentaria y elementos de seguridad"/>
    <x v="2"/>
    <x v="3"/>
    <x v="24"/>
  </r>
  <r>
    <x v="34"/>
    <n v="34245000"/>
    <n v="33114250"/>
    <n v="1130750"/>
    <n v="3.4146930702039155E-2"/>
    <s v="indumentaria y elementos de seguridad"/>
    <x v="2"/>
    <x v="3"/>
    <x v="13"/>
  </r>
  <r>
    <x v="42"/>
    <n v="3427000"/>
    <n v="3290350"/>
    <n v="136650"/>
    <n v="4.1530536265138966E-2"/>
    <s v="elementos de seguridad"/>
    <x v="2"/>
    <x v="3"/>
    <x v="24"/>
  </r>
  <r>
    <x v="25"/>
    <n v="1450000"/>
    <n v="1250000"/>
    <n v="200000"/>
    <n v="0.16"/>
    <s v="cobertizo obrador p/ exterior "/>
    <x v="2"/>
    <x v="2"/>
    <x v="14"/>
  </r>
  <r>
    <x v="43"/>
    <n v="7920000"/>
    <n v="7480000"/>
    <n v="440000"/>
    <n v="5.8823529411764705E-2"/>
    <s v="reparacion p/ int 175, 127, 74, 233 y 344"/>
    <x v="2"/>
    <x v="0"/>
    <x v="0"/>
  </r>
  <r>
    <x v="22"/>
    <n v="12910406"/>
    <n v="12630606"/>
    <n v="279800"/>
    <n v="2.2152539632698542E-2"/>
    <s v="libreria anual CDI"/>
    <x v="2"/>
    <x v="2"/>
    <x v="5"/>
  </r>
  <r>
    <x v="44"/>
    <n v="16180000"/>
    <n v="15480000"/>
    <n v="700000"/>
    <n v="4.5219638242894059E-2"/>
    <s v="ornamentacion "/>
    <x v="2"/>
    <x v="2"/>
    <x v="10"/>
  </r>
  <r>
    <x v="25"/>
    <n v="4025000"/>
    <n v="3900000"/>
    <n v="125000"/>
    <n v="3.2051282051282048E-2"/>
    <s v="carpa tuareg"/>
    <x v="2"/>
    <x v="2"/>
    <x v="10"/>
  </r>
  <r>
    <x v="45"/>
    <n v="110630200"/>
    <n v="89857000"/>
    <n v="20773200"/>
    <n v="0.23118065370533181"/>
    <s v="baterias p/ int varios"/>
    <x v="2"/>
    <x v="0"/>
    <x v="25"/>
  </r>
  <r>
    <x v="46"/>
    <n v="74019330"/>
    <n v="50000000"/>
    <n v="24019330"/>
    <n v="0.4803866"/>
    <s v="caños de hierro, caños de pvc y fenolicos p/ paños de hormigon"/>
    <x v="2"/>
    <x v="0"/>
    <x v="26"/>
  </r>
  <r>
    <x v="47"/>
    <n v="23143000"/>
    <n v="20828000"/>
    <n v="2315000"/>
    <n v="0.11114845400422509"/>
    <s v="materiales y mano de obra p/ trabajo de plomeria"/>
    <x v="2"/>
    <x v="10"/>
    <x v="1"/>
  </r>
  <r>
    <x v="48"/>
    <n v="7946560"/>
    <n v="7196555"/>
    <n v="750005"/>
    <n v="0.1042172261589052"/>
    <s v="libreria CME"/>
    <x v="2"/>
    <x v="2"/>
    <x v="5"/>
  </r>
  <r>
    <x v="49"/>
    <n v="9720000"/>
    <n v="7920000"/>
    <n v="1800000"/>
    <n v="0.22727272727272727"/>
    <s v="fumigacion polo gastronomico"/>
    <x v="2"/>
    <x v="3"/>
    <x v="1"/>
  </r>
  <r>
    <x v="6"/>
    <n v="12518429"/>
    <n v="7756095"/>
    <n v="4762334"/>
    <n v="0.61401181909195279"/>
    <s v="mobiliario centro cultural T.A"/>
    <x v="2"/>
    <x v="2"/>
    <x v="12"/>
  </r>
  <r>
    <x v="4"/>
    <n v="2680862"/>
    <n v="2546819"/>
    <n v="134043"/>
    <n v="5.2631537616139978E-2"/>
    <s v="aire acondicionado 6000frg CCTA"/>
    <x v="2"/>
    <x v="2"/>
    <x v="12"/>
  </r>
  <r>
    <x v="25"/>
    <n v="8368780"/>
    <n v="8057163"/>
    <n v="311617"/>
    <n v="3.8675772104895978E-2"/>
    <s v="camas reforzadas de pino"/>
    <x v="2"/>
    <x v="0"/>
    <x v="27"/>
  </r>
  <r>
    <x v="50"/>
    <n v="52500000"/>
    <n v="48000000"/>
    <n v="4500000"/>
    <n v="9.375E-2"/>
    <s v="bolsas de polietileno verdes 70x90 de 40 micrones"/>
    <x v="2"/>
    <x v="11"/>
    <x v="28"/>
  </r>
  <r>
    <x v="51"/>
    <n v="8800000"/>
    <n v="8050000"/>
    <n v="750000"/>
    <n v="9.3167701863354033E-2"/>
    <s v="division y reacondicionamiento de oficina"/>
    <x v="2"/>
    <x v="3"/>
    <x v="29"/>
  </r>
  <r>
    <x v="47"/>
    <n v="5250000"/>
    <n v="4750000"/>
    <n v="500000"/>
    <n v="0.10526315789473684"/>
    <s v="arreglo plomeria sector cocina htal abete"/>
    <x v="2"/>
    <x v="8"/>
    <x v="21"/>
  </r>
  <r>
    <x v="52"/>
    <n v="8315400"/>
    <n v="8065980"/>
    <n v="249420"/>
    <n v="3.0922466953798546E-2"/>
    <s v="indumentaria"/>
    <x v="2"/>
    <x v="2"/>
    <x v="30"/>
  </r>
  <r>
    <x v="15"/>
    <n v="6907900"/>
    <n v="6657700"/>
    <n v="250200"/>
    <n v="3.7580545834146925E-2"/>
    <s v="indumentaria"/>
    <x v="2"/>
    <x v="2"/>
    <x v="30"/>
  </r>
  <r>
    <x v="53"/>
    <n v="7861400"/>
    <n v="7561400"/>
    <n v="300000"/>
    <n v="3.9675192424683259E-2"/>
    <s v="perforacion y materiales campo russo"/>
    <x v="2"/>
    <x v="0"/>
    <x v="25"/>
  </r>
  <r>
    <x v="53"/>
    <n v="15433000"/>
    <n v="14567800"/>
    <n v="865200"/>
    <n v="5.9391260176553766E-2"/>
    <s v="materiales varios drozdowski y polo"/>
    <x v="2"/>
    <x v="8"/>
    <x v="1"/>
  </r>
  <r>
    <x v="53"/>
    <n v="26462000"/>
    <n v="24945600"/>
    <n v="1516400"/>
    <n v="6.0788275287024567E-2"/>
    <s v="materiales varios trauma"/>
    <x v="2"/>
    <x v="8"/>
    <x v="1"/>
  </r>
  <r>
    <x v="25"/>
    <n v="4000000"/>
    <n v="3800000"/>
    <n v="200000"/>
    <n v="5.2631578947368418E-2"/>
    <s v="heladera exibidora de 2 puertas"/>
    <x v="2"/>
    <x v="11"/>
    <x v="31"/>
  </r>
  <r>
    <x v="25"/>
    <n v="2400000"/>
    <n v="2200000"/>
    <n v="200000"/>
    <n v="9.0909090909090912E-2"/>
    <s v="freezer horizontal 299lts ENOVA"/>
    <x v="2"/>
    <x v="11"/>
    <x v="31"/>
  </r>
  <r>
    <x v="54"/>
    <m/>
    <m/>
    <m/>
    <m/>
    <m/>
    <x v="1"/>
    <x v="5"/>
    <x v="1"/>
  </r>
  <r>
    <x v="0"/>
    <n v="6406635"/>
    <n v="6193081"/>
    <n v="213554"/>
    <n v="3.4482675101455966E-2"/>
    <s v="Repuestos para vehiculo Int 14 Dom KGB954"/>
    <x v="3"/>
    <x v="12"/>
    <x v="0"/>
  </r>
  <r>
    <x v="55"/>
    <n v="1355000"/>
    <n v="1311000"/>
    <n v="44000"/>
    <n v="3.3562166285278416E-2"/>
    <s v="pc completa + monitor "/>
    <x v="3"/>
    <x v="12"/>
    <x v="32"/>
  </r>
  <r>
    <x v="55"/>
    <n v="1883000"/>
    <n v="1608800"/>
    <n v="274200"/>
    <n v="0.17043759323719543"/>
    <s v="pc completa + monitor "/>
    <x v="3"/>
    <x v="12"/>
    <x v="33"/>
  </r>
  <r>
    <x v="0"/>
    <n v="1941682"/>
    <n v="1833814"/>
    <n v="107868"/>
    <n v="5.8821668936980522E-2"/>
    <s v="repuestos int 498"/>
    <x v="3"/>
    <x v="12"/>
    <x v="0"/>
  </r>
  <r>
    <x v="56"/>
    <n v="3394261"/>
    <n v="3299976"/>
    <n v="94285"/>
    <n v="2.8571419913356946E-2"/>
    <s v="repuestos int 429"/>
    <x v="3"/>
    <x v="8"/>
    <x v="18"/>
  </r>
  <r>
    <x v="57"/>
    <n v="7215000"/>
    <n v="6855250"/>
    <n v="359750"/>
    <n v="5.2478027788920897E-2"/>
    <s v="raparacion int 166"/>
    <x v="3"/>
    <x v="0"/>
    <x v="0"/>
  </r>
  <r>
    <x v="57"/>
    <n v="15775000"/>
    <n v="14986250"/>
    <n v="788750"/>
    <n v="5.2631578947368418E-2"/>
    <s v="reparacion int 66"/>
    <x v="3"/>
    <x v="0"/>
    <x v="0"/>
  </r>
  <r>
    <x v="58"/>
    <n v="5100000"/>
    <n v="4820000"/>
    <n v="280000"/>
    <n v="5.8091286307053944E-2"/>
    <s v="reparacion p/int 236, 188 y 191"/>
    <x v="3"/>
    <x v="0"/>
    <x v="0"/>
  </r>
  <r>
    <x v="59"/>
    <n v="15990000"/>
    <n v="15000000"/>
    <n v="990000"/>
    <n v="6.6000000000000003E-2"/>
    <s v="cambio de reguladores sala &quot;quesada pacheco&quot;"/>
    <x v="3"/>
    <x v="3"/>
    <x v="1"/>
  </r>
  <r>
    <x v="24"/>
    <n v="1762800"/>
    <n v="1586520"/>
    <n v="176280"/>
    <n v="0.1111111111111111"/>
    <s v="sillas de escritorio "/>
    <x v="3"/>
    <x v="4"/>
    <x v="23"/>
  </r>
  <r>
    <x v="34"/>
    <n v="33114250"/>
    <n v="31328875"/>
    <n v="1785375"/>
    <n v="5.6988161879416355E-2"/>
    <s v="ropa y elementos de seguridad "/>
    <x v="3"/>
    <x v="3"/>
    <x v="1"/>
  </r>
  <r>
    <x v="34"/>
    <n v="15273275"/>
    <n v="14333825"/>
    <n v="939450"/>
    <n v="6.5540775054809167E-2"/>
    <s v="ropa y elementos de seguridad "/>
    <x v="3"/>
    <x v="3"/>
    <x v="1"/>
  </r>
  <r>
    <x v="34"/>
    <n v="12129985"/>
    <n v="11466400"/>
    <n v="663585"/>
    <n v="5.7872130747226677E-2"/>
    <s v="ropa y elementos de seguridad "/>
    <x v="3"/>
    <x v="3"/>
    <x v="1"/>
  </r>
  <r>
    <x v="60"/>
    <n v="2225412"/>
    <n v="2157575"/>
    <n v="67837"/>
    <n v="3.1441317219563628E-2"/>
    <s v="Repuestos p/Int. 231-171-68-38-379- 390-344-230"/>
    <x v="3"/>
    <x v="12"/>
    <x v="3"/>
  </r>
  <r>
    <x v="60"/>
    <n v="1286873"/>
    <n v="1255893"/>
    <n v="30980"/>
    <n v="2.4667706564173858E-2"/>
    <s v="Repuestos p/Chipeadora e Int. 026-93-45- 229-231-101-68"/>
    <x v="3"/>
    <x v="12"/>
    <x v="3"/>
  </r>
  <r>
    <x v="60"/>
    <n v="1290139"/>
    <n v="1254679"/>
    <n v="35460"/>
    <n v="2.8262208899646844E-2"/>
    <s v="Reparaciones p/Int. 180-80"/>
    <x v="3"/>
    <x v="12"/>
    <x v="3"/>
  </r>
  <r>
    <x v="13"/>
    <n v="2438610"/>
    <n v="2365450"/>
    <n v="73160"/>
    <n v="3.0928575958062948E-2"/>
    <s v="Reparaciones p/Int. 81"/>
    <x v="3"/>
    <x v="12"/>
    <x v="3"/>
  </r>
  <r>
    <x v="13"/>
    <n v="5266860"/>
    <n v="5116375"/>
    <n v="150485"/>
    <n v="2.9412425789743714E-2"/>
    <s v="Repuestos p/Int. 149-175-176-329-330"/>
    <x v="3"/>
    <x v="12"/>
    <x v="3"/>
  </r>
  <r>
    <x v="7"/>
    <n v="4587000"/>
    <n v="4357650"/>
    <n v="229350"/>
    <n v="5.2631578947368418E-2"/>
    <s v="Reparaciones p/Int. 182"/>
    <x v="3"/>
    <x v="12"/>
    <x v="3"/>
  </r>
  <r>
    <x v="7"/>
    <n v="2565000"/>
    <n v="2436900"/>
    <n v="128100"/>
    <n v="5.2566785670318847E-2"/>
    <s v="Reparaciones Int 035"/>
    <x v="3"/>
    <x v="12"/>
    <x v="3"/>
  </r>
  <r>
    <x v="61"/>
    <n v="13200000"/>
    <n v="10200000"/>
    <n v="3000000"/>
    <n v="0.29411764705882354"/>
    <s v="fumigacion gendarmeria"/>
    <x v="3"/>
    <x v="2"/>
    <x v="34"/>
  </r>
  <r>
    <x v="62"/>
    <n v="188832"/>
    <n v="174844"/>
    <n v="13988"/>
    <n v="8.0002745304385628E-2"/>
    <s v="reparación del vehículo INT.186 PARTNER"/>
    <x v="3"/>
    <x v="12"/>
    <x v="3"/>
  </r>
  <r>
    <x v="60"/>
    <n v="3204091"/>
    <n v="3116298"/>
    <n v="87793"/>
    <n v="2.8172209461354465E-2"/>
    <s v="repuestos de los vehículos INT. 111,112,265,225,194,232,201,38,79,81,388,281,15 y 383"/>
    <x v="3"/>
    <x v="12"/>
    <x v="3"/>
  </r>
  <r>
    <x v="63"/>
    <n v="8581830"/>
    <n v="8059182"/>
    <n v="522648"/>
    <n v="6.4851246689800524E-2"/>
    <s v="Revision y mant en aires de cca "/>
    <x v="3"/>
    <x v="5"/>
    <x v="35"/>
  </r>
  <r>
    <x v="15"/>
    <n v="6009250"/>
    <n v="5384200"/>
    <n v="625050"/>
    <n v="0.11608966977452546"/>
    <s v="Herramientas para el 5to cursod e hortalizas"/>
    <x v="3"/>
    <x v="12"/>
    <x v="36"/>
  </r>
  <r>
    <x v="64"/>
    <n v="770250"/>
    <n v="738350"/>
    <n v="31900"/>
    <n v="4.3204442337644748E-2"/>
    <s v="Mat para mantenimiendo de equipos medicos "/>
    <x v="3"/>
    <x v="13"/>
    <x v="1"/>
  </r>
  <r>
    <x v="65"/>
    <n v="5500000"/>
    <n v="4950000"/>
    <n v="550000"/>
    <n v="0.1111111111111111"/>
    <s v="division inter oficina con blindex "/>
    <x v="3"/>
    <x v="12"/>
    <x v="37"/>
  </r>
  <r>
    <x v="60"/>
    <n v="2164458"/>
    <n v="2104928"/>
    <n v="59530"/>
    <n v="2.8281252375378159E-2"/>
    <s v="epuestos de los vehículos internos N°197,116,115,118,221,229,199,200,228,66,219,186,112,214,121,97,102,136,55,231 y 38"/>
    <x v="3"/>
    <x v="12"/>
    <x v="3"/>
  </r>
  <r>
    <x v="60"/>
    <n v="2133720"/>
    <n v="2046450"/>
    <n v="87270"/>
    <n v="4.2644579637909553E-2"/>
    <s v="Mant para vehiculo N377 AC090NV Renault Kango "/>
    <x v="3"/>
    <x v="2"/>
    <x v="38"/>
  </r>
  <r>
    <x v="34"/>
    <n v="544452000"/>
    <n v="530328000"/>
    <n v="14124000"/>
    <n v="2.6632574557632259E-2"/>
    <s v="indumentaria para ulg"/>
    <x v="3"/>
    <x v="12"/>
    <x v="39"/>
  </r>
  <r>
    <x v="60"/>
    <n v="2421536"/>
    <n v="2309916"/>
    <n v="111620"/>
    <n v="4.8322103487745877E-2"/>
    <s v="olocaciones de parabrisas de los vehículos internos 217,115,231 y 385"/>
    <x v="3"/>
    <x v="12"/>
    <x v="3"/>
  </r>
  <r>
    <x v="60"/>
    <n v="3711184"/>
    <n v="3607319"/>
    <n v="103865"/>
    <n v="2.8792851422344407E-2"/>
    <s v="repuestos de los vehículos internos 387,7,167,022,162,112,38,199,196,123,127 y 196"/>
    <x v="3"/>
    <x v="12"/>
    <x v="3"/>
  </r>
  <r>
    <x v="66"/>
    <n v="1740000"/>
    <n v="1566000"/>
    <n v="174000"/>
    <n v="0.1111111111111111"/>
    <s v=" Mano de Obra de Chapa y Pintura p/ Móvil N°332 AB 474"/>
    <x v="3"/>
    <x v="5"/>
    <x v="40"/>
  </r>
  <r>
    <x v="2"/>
    <n v="3230000"/>
    <n v="3050000"/>
    <n v="180000"/>
    <n v="5.9016393442622953E-2"/>
    <s v="REACONDICIONADO DE CARDAN P/ MOVIL INT. 62"/>
    <x v="3"/>
    <x v="14"/>
    <x v="1"/>
  </r>
  <r>
    <x v="2"/>
    <n v="10810000"/>
    <n v="10280000"/>
    <n v="530000"/>
    <n v="5.1556420233463032E-2"/>
    <s v="reparación del vehículo INT.138 .F .Cargo 2631"/>
    <x v="3"/>
    <x v="12"/>
    <x v="3"/>
  </r>
  <r>
    <x v="2"/>
    <n v="5995000"/>
    <n v="5645000"/>
    <n v="350000"/>
    <n v="6.2001771479185119E-2"/>
    <s v="Reparación de los vehículos internos 175,136 y 186"/>
    <x v="3"/>
    <x v="12"/>
    <x v="3"/>
  </r>
  <r>
    <x v="0"/>
    <n v="609840"/>
    <n v="592900"/>
    <n v="16940"/>
    <n v="2.8571428571428571E-2"/>
    <s v="reparacion int 219"/>
    <x v="3"/>
    <x v="12"/>
    <x v="3"/>
  </r>
  <r>
    <x v="0"/>
    <n v="1651725"/>
    <n v="1600043"/>
    <n v="51682"/>
    <n v="3.2300381927235708E-2"/>
    <s v="reparacion int 121"/>
    <x v="3"/>
    <x v="12"/>
    <x v="3"/>
  </r>
  <r>
    <x v="0"/>
    <n v="1651725"/>
    <n v="1600043"/>
    <n v="51682"/>
    <n v="3.2300381927235708E-2"/>
    <s v="reparacion int 216"/>
    <x v="3"/>
    <x v="12"/>
    <x v="3"/>
  </r>
  <r>
    <x v="67"/>
    <n v="15823000"/>
    <n v="14980500"/>
    <n v="842500"/>
    <n v="5.6239778378558793E-2"/>
    <s v="reparacion int 131"/>
    <x v="3"/>
    <x v="12"/>
    <x v="3"/>
  </r>
  <r>
    <x v="68"/>
    <n v="7750000"/>
    <n v="7045450"/>
    <n v="704550"/>
    <n v="0.10000070967787721"/>
    <s v="tubos uvb wallman"/>
    <x v="3"/>
    <x v="8"/>
    <x v="1"/>
  </r>
  <r>
    <x v="69"/>
    <n v="1718750"/>
    <n v="1546875"/>
    <n v="171875"/>
    <n v="0.1111111111111111"/>
    <s v="ploteo vehicular int 368"/>
    <x v="3"/>
    <x v="2"/>
    <x v="41"/>
  </r>
  <r>
    <x v="69"/>
    <n v="1950000"/>
    <n v="1755000"/>
    <n v="195000"/>
    <n v="0.1111111111111111"/>
    <s v="ploteo vehicular int 481"/>
    <x v="3"/>
    <x v="2"/>
    <x v="41"/>
  </r>
  <r>
    <x v="0"/>
    <n v="4753070"/>
    <n v="4620993"/>
    <n v="132077"/>
    <n v="2.8581951974391652E-2"/>
    <s v="repuestos int 67"/>
    <x v="3"/>
    <x v="15"/>
    <x v="28"/>
  </r>
  <r>
    <x v="0"/>
    <n v="543458"/>
    <n v="528362"/>
    <n v="15096"/>
    <n v="2.8571320420469299E-2"/>
    <s v="repuestos int 498"/>
    <x v="3"/>
    <x v="15"/>
    <x v="28"/>
  </r>
  <r>
    <x v="0"/>
    <n v="676433"/>
    <n v="657106"/>
    <n v="19327"/>
    <n v="2.9412301820406449E-2"/>
    <s v="repuestos int 545"/>
    <x v="3"/>
    <x v="2"/>
    <x v="41"/>
  </r>
  <r>
    <x v="70"/>
    <n v="4060000"/>
    <n v="3654000"/>
    <n v="406000"/>
    <n v="0.1111111111111111"/>
    <s v="reparacion int 275, 276, 277 y 278"/>
    <x v="3"/>
    <x v="2"/>
    <x v="41"/>
  </r>
  <r>
    <x v="69"/>
    <n v="1930500"/>
    <n v="1755000"/>
    <n v="175500"/>
    <n v="0.1"/>
    <s v="ploteo vehicular int 457"/>
    <x v="3"/>
    <x v="2"/>
    <x v="41"/>
  </r>
  <r>
    <x v="0"/>
    <n v="2281856"/>
    <n v="2218568"/>
    <n v="63288"/>
    <n v="2.8526508991385435E-2"/>
    <s v="reparacion int 381"/>
    <x v="3"/>
    <x v="0"/>
    <x v="0"/>
  </r>
  <r>
    <x v="0"/>
    <n v="1315408"/>
    <n v="1274660"/>
    <n v="40748"/>
    <n v="3.1967740417052387E-2"/>
    <s v="repuestos int 116, 123, 127, 389 y 228"/>
    <x v="3"/>
    <x v="0"/>
    <x v="0"/>
  </r>
  <r>
    <x v="40"/>
    <n v="1278800"/>
    <n v="1102200"/>
    <n v="176600"/>
    <n v="0.16022500453638178"/>
    <s v="materiales para mentenimiento "/>
    <x v="3"/>
    <x v="8"/>
    <x v="42"/>
  </r>
  <r>
    <x v="71"/>
    <n v="8400000"/>
    <n v="8070000"/>
    <n v="330000"/>
    <n v="4.0892193308550186E-2"/>
    <s v="alquiler de inflable p/ bike fest"/>
    <x v="3"/>
    <x v="2"/>
    <x v="10"/>
  </r>
  <r>
    <x v="72"/>
    <n v="4074000"/>
    <n v="3677500"/>
    <n v="396500"/>
    <n v="0.10781781101291639"/>
    <s v="inusmos para huevos de pascua CME"/>
    <x v="3"/>
    <x v="2"/>
    <x v="43"/>
  </r>
  <r>
    <x v="72"/>
    <n v="2447000"/>
    <n v="2141000"/>
    <n v="306000"/>
    <n v="0.14292386735170481"/>
    <s v="insumos para masteclass de pascuas"/>
    <x v="3"/>
    <x v="2"/>
    <x v="43"/>
  </r>
  <r>
    <x v="24"/>
    <n v="15970560"/>
    <n v="15213290"/>
    <n v="757270"/>
    <n v="4.9776872721153678E-2"/>
    <s v="ampliacion mobiliario faltas"/>
    <x v="3"/>
    <x v="3"/>
    <x v="1"/>
  </r>
  <r>
    <x v="0"/>
    <n v="3039096"/>
    <n v="2952264"/>
    <n v="86832"/>
    <n v="2.9412003804537807E-2"/>
    <s v="repuestos int 544"/>
    <x v="3"/>
    <x v="2"/>
    <x v="34"/>
  </r>
  <r>
    <x v="2"/>
    <n v="7800000"/>
    <n v="7340000"/>
    <n v="460000"/>
    <n v="6.2670299727520432E-2"/>
    <s v="reparacion int 96, 103, 35 y 233"/>
    <x v="3"/>
    <x v="0"/>
    <x v="0"/>
  </r>
  <r>
    <x v="0"/>
    <n v="581324"/>
    <n v="565177"/>
    <n v="16147"/>
    <n v="2.8569810873407799E-2"/>
    <s v="repuestos y mano de obra int 302"/>
    <x v="3"/>
    <x v="8"/>
    <x v="44"/>
  </r>
  <r>
    <x v="0"/>
    <n v="809263"/>
    <n v="786784"/>
    <n v="22479"/>
    <n v="2.8570738601700084E-2"/>
    <s v="repuestos int 66 y 112"/>
    <x v="3"/>
    <x v="0"/>
    <x v="0"/>
  </r>
  <r>
    <x v="0"/>
    <n v="1002297"/>
    <n v="974454"/>
    <n v="27843"/>
    <n v="2.8572923914315092E-2"/>
    <s v="repuestos int 188,95,96, 102, 33,316 y 91"/>
    <x v="3"/>
    <x v="0"/>
    <x v="0"/>
  </r>
  <r>
    <x v="0"/>
    <n v="1234577"/>
    <n v="1202217"/>
    <n v="32360"/>
    <n v="2.6916937624405578E-2"/>
    <s v="repuestos int 97, 92, 94, 87 y 93"/>
    <x v="3"/>
    <x v="0"/>
    <x v="0"/>
  </r>
  <r>
    <x v="0"/>
    <n v="2280807"/>
    <n v="2217453"/>
    <n v="63354"/>
    <n v="2.8570616829308219E-2"/>
    <s v="repuestos int 97,140,103,214,118,115,112,116,95,385,386,390,382,389,387 y 388"/>
    <x v="3"/>
    <x v="0"/>
    <x v="0"/>
  </r>
  <r>
    <x v="0"/>
    <n v="1219418"/>
    <n v="1161308"/>
    <n v="58110"/>
    <n v="5.0038404970946554E-2"/>
    <s v="repuestos int 232 y 214"/>
    <x v="3"/>
    <x v="0"/>
    <x v="0"/>
  </r>
  <r>
    <x v="0"/>
    <n v="901311"/>
    <n v="875560"/>
    <n v="25751"/>
    <n v="2.9410891315272511E-2"/>
    <s v="repuestos int 39"/>
    <x v="3"/>
    <x v="0"/>
    <x v="0"/>
  </r>
  <r>
    <x v="0"/>
    <n v="350000"/>
    <n v="332500"/>
    <n v="17500"/>
    <n v="5.2631578947368418E-2"/>
    <s v="reparacion int 26"/>
    <x v="3"/>
    <x v="0"/>
    <x v="0"/>
  </r>
  <r>
    <x v="69"/>
    <n v="1718750"/>
    <n v="1546875"/>
    <n v="171875"/>
    <n v="0.1111111111111111"/>
    <s v="ploteo vehicular int 368, 543 y 493"/>
    <x v="3"/>
    <x v="2"/>
    <x v="41"/>
  </r>
  <r>
    <x v="0"/>
    <n v="510332"/>
    <n v="496156"/>
    <n v="14176"/>
    <n v="2.8571658913728745E-2"/>
    <s v="repuesto int 231"/>
    <x v="3"/>
    <x v="0"/>
    <x v="0"/>
  </r>
  <r>
    <x v="62"/>
    <n v="1279865.3999999999"/>
    <n v="1218920"/>
    <n v="60945.399999999907"/>
    <n v="4.9999507760968648E-2"/>
    <s v="reparacion int 111"/>
    <x v="3"/>
    <x v="0"/>
    <x v="0"/>
  </r>
  <r>
    <x v="62"/>
    <n v="325211.7"/>
    <n v="309725"/>
    <n v="15486.700000000012"/>
    <n v="5.0001452901767732E-2"/>
    <s v="reparacion int 182"/>
    <x v="3"/>
    <x v="0"/>
    <x v="0"/>
  </r>
  <r>
    <x v="0"/>
    <n v="270000"/>
    <n v="255000"/>
    <n v="15000"/>
    <n v="5.8823529411764705E-2"/>
    <s v="baterias 12v x 85amp int 323"/>
    <x v="3"/>
    <x v="2"/>
    <x v="45"/>
  </r>
  <r>
    <x v="69"/>
    <n v="6990000"/>
    <n v="5814000"/>
    <n v="1176000"/>
    <n v="0.20227038183694532"/>
    <s v="ploteo vehicular int 427, 419, 410 y 446 "/>
    <x v="3"/>
    <x v="2"/>
    <x v="46"/>
  </r>
  <r>
    <x v="69"/>
    <n v="6045000"/>
    <n v="5265000"/>
    <n v="780000"/>
    <n v="0.14814814814814814"/>
    <s v="ploteo vehicular int 273, 274 y 275"/>
    <x v="3"/>
    <x v="2"/>
    <x v="46"/>
  </r>
  <r>
    <x v="0"/>
    <n v="3572649"/>
    <n v="3468306"/>
    <n v="104343"/>
    <n v="3.0084715708475551E-2"/>
    <s v="repuestos int varios"/>
    <x v="3"/>
    <x v="0"/>
    <x v="0"/>
  </r>
  <r>
    <x v="0"/>
    <n v="2722232"/>
    <n v="2646622"/>
    <n v="75610"/>
    <n v="2.8568492213848447E-2"/>
    <s v="repuestos int varios"/>
    <x v="3"/>
    <x v="0"/>
    <x v="0"/>
  </r>
  <r>
    <x v="0"/>
    <n v="462627"/>
    <n v="449742"/>
    <n v="12885"/>
    <n v="2.8649759195271955E-2"/>
    <s v="insumos para pañol"/>
    <x v="3"/>
    <x v="0"/>
    <x v="0"/>
  </r>
  <r>
    <x v="73"/>
    <n v="2848000"/>
    <n v="2568000"/>
    <n v="280000"/>
    <n v="0.10903426791277258"/>
    <s v="reparacion int 319"/>
    <x v="3"/>
    <x v="2"/>
    <x v="46"/>
  </r>
  <r>
    <x v="43"/>
    <n v="6460000"/>
    <n v="6100000"/>
    <n v="360000"/>
    <n v="5.9016393442622953E-2"/>
    <s v="reparacion int 51 y 222"/>
    <x v="3"/>
    <x v="0"/>
    <x v="0"/>
  </r>
  <r>
    <x v="43"/>
    <n v="12300000"/>
    <n v="11600000"/>
    <n v="700000"/>
    <n v="6.0344827586206899E-2"/>
    <s v="reparacion int 228"/>
    <x v="3"/>
    <x v="0"/>
    <x v="0"/>
  </r>
  <r>
    <x v="43"/>
    <n v="9580000"/>
    <n v="9050000"/>
    <n v="530000"/>
    <n v="5.856353591160221E-2"/>
    <s v="reparacion int 221"/>
    <x v="3"/>
    <x v="0"/>
    <x v="0"/>
  </r>
  <r>
    <x v="74"/>
    <n v="3241700"/>
    <n v="3103800"/>
    <n v="137900"/>
    <n v="4.442940911141182E-2"/>
    <s v="Insumos de ferreteria "/>
    <x v="3"/>
    <x v="13"/>
    <x v="1"/>
  </r>
  <r>
    <x v="61"/>
    <n v="8700000"/>
    <n v="7800000"/>
    <n v="900000"/>
    <n v="0.11538461538461539"/>
    <s v="Servicio de fumigacion Galpon 14"/>
    <x v="3"/>
    <x v="16"/>
    <x v="27"/>
  </r>
  <r>
    <x v="61"/>
    <n v="8331120"/>
    <n v="7800000"/>
    <n v="531120"/>
    <n v="6.8092307692307688E-2"/>
    <s v="Servicio de fumigacion COM"/>
    <x v="3"/>
    <x v="2"/>
    <x v="47"/>
  </r>
  <r>
    <x v="75"/>
    <m/>
    <m/>
    <m/>
    <m/>
    <m/>
    <x v="1"/>
    <x v="5"/>
    <x v="1"/>
  </r>
  <r>
    <x v="37"/>
    <n v="26005200"/>
    <n v="24005200"/>
    <n v="2000000"/>
    <n v="8.3315281688967388E-2"/>
    <s v="reforma planta superior del HCD"/>
    <x v="4"/>
    <x v="10"/>
    <x v="48"/>
  </r>
  <r>
    <x v="0"/>
    <n v="505780"/>
    <n v="492470"/>
    <n v="13310"/>
    <n v="2.7027027027027029E-2"/>
    <s v="reparacion int 485"/>
    <x v="4"/>
    <x v="2"/>
    <x v="41"/>
  </r>
  <r>
    <x v="69"/>
    <n v="2972750"/>
    <n v="2824112.5"/>
    <n v="148637.5"/>
    <n v="5.2631578947368418E-2"/>
    <s v="reparacion int 67"/>
    <x v="4"/>
    <x v="11"/>
    <x v="28"/>
  </r>
  <r>
    <x v="40"/>
    <n v="402000"/>
    <n v="364500"/>
    <n v="37500"/>
    <n v="0.102880658436214"/>
    <s v="insumos electricos para tablero"/>
    <x v="4"/>
    <x v="13"/>
    <x v="49"/>
  </r>
  <r>
    <x v="40"/>
    <n v="942200"/>
    <n v="855800"/>
    <n v="86400"/>
    <n v="0.10095816779621407"/>
    <s v="materiales para hospital evita"/>
    <x v="4"/>
    <x v="16"/>
    <x v="50"/>
  </r>
  <r>
    <x v="0"/>
    <n v="1181939"/>
    <n v="1147769"/>
    <n v="34170"/>
    <n v="2.9770798827987166E-2"/>
    <s v="repuestos int 93"/>
    <x v="4"/>
    <x v="16"/>
    <x v="0"/>
  </r>
  <r>
    <x v="0"/>
    <n v="2512579"/>
    <n v="2439725"/>
    <n v="72854"/>
    <n v="2.9861562266239022E-2"/>
    <s v="repuestos int 55, 97, 381, 382, 236 y 199"/>
    <x v="4"/>
    <x v="16"/>
    <x v="0"/>
  </r>
  <r>
    <x v="0"/>
    <n v="1028180"/>
    <n v="996827"/>
    <n v="31353"/>
    <n v="3.1452799733554568E-2"/>
    <s v="repuestos int 95, 182, 263 y 27 "/>
    <x v="4"/>
    <x v="16"/>
    <x v="0"/>
  </r>
  <r>
    <x v="0"/>
    <n v="884122"/>
    <n v="859577"/>
    <n v="24545"/>
    <n v="2.8554742623406629E-2"/>
    <s v="repuestos int 45, 198, 196, 100, 103m, 180 y 138"/>
    <x v="4"/>
    <x v="16"/>
    <x v="0"/>
  </r>
  <r>
    <x v="0"/>
    <n v="2521268"/>
    <n v="2419202"/>
    <n v="102066"/>
    <n v="4.2189945279476455E-2"/>
    <s v="repuestos int 22"/>
    <x v="4"/>
    <x v="16"/>
    <x v="0"/>
  </r>
  <r>
    <x v="0"/>
    <n v="2955060"/>
    <n v="2872970"/>
    <n v="82090"/>
    <n v="2.8573218655259192E-2"/>
    <s v="repuestos int varios"/>
    <x v="4"/>
    <x v="16"/>
    <x v="0"/>
  </r>
  <r>
    <x v="0"/>
    <n v="4197359"/>
    <n v="4078357"/>
    <n v="119002"/>
    <n v="2.9178907094204849E-2"/>
    <s v="repuestos int 29"/>
    <x v="4"/>
    <x v="16"/>
    <x v="0"/>
  </r>
  <r>
    <x v="0"/>
    <n v="918520"/>
    <n v="879187"/>
    <n v="39333"/>
    <n v="4.4737922648992762E-2"/>
    <s v="repuestos int 229"/>
    <x v="4"/>
    <x v="16"/>
    <x v="0"/>
  </r>
  <r>
    <x v="0"/>
    <n v="1635771"/>
    <n v="1561466"/>
    <n v="74305"/>
    <n v="4.758669096861539E-2"/>
    <s v="repuestos int 22"/>
    <x v="4"/>
    <x v="16"/>
    <x v="0"/>
  </r>
  <r>
    <x v="46"/>
    <n v="6236900"/>
    <n v="5956900"/>
    <n v="280000"/>
    <n v="4.700431432456479E-2"/>
    <s v="materiales p/ primera mitad del año "/>
    <x v="4"/>
    <x v="16"/>
    <x v="51"/>
  </r>
  <r>
    <x v="76"/>
    <n v="130000"/>
    <n v="120000"/>
    <n v="10000"/>
    <n v="8.3333333333333329E-2"/>
    <s v="cafetera electrica "/>
    <x v="4"/>
    <x v="2"/>
    <x v="52"/>
  </r>
  <r>
    <x v="40"/>
    <n v="7463000"/>
    <n v="5110000"/>
    <n v="2353000"/>
    <n v="0.46046966731898237"/>
    <s v="retiro y colocacion de tapas de cemento "/>
    <x v="4"/>
    <x v="2"/>
    <x v="53"/>
  </r>
  <r>
    <x v="46"/>
    <n v="7755000"/>
    <n v="6039000"/>
    <n v="1716000"/>
    <n v="0.28415300546448086"/>
    <s v="mallas de hierro para pavimentos "/>
    <x v="4"/>
    <x v="16"/>
    <x v="25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  <r>
    <x v="77"/>
    <m/>
    <m/>
    <n v="0"/>
    <e v="#DIV/0!"/>
    <m/>
    <x v="1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6344F-CF33-4E62-9FE3-16FD3D98359B}" name="TablaDinámica1" cacheId="16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4:D16" firstHeaderRow="0" firstDataRow="1" firstDataCol="1" rowPageCount="2" colPageCount="1"/>
  <pivotFields count="10"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3">
        <item x="0"/>
        <item x="2"/>
        <item x="3"/>
        <item x="4"/>
        <item x="5"/>
        <item x="6"/>
        <item x="7"/>
        <item x="8"/>
        <item x="9"/>
        <item x="10"/>
        <item x="11"/>
        <item h="1" x="1"/>
        <item t="default"/>
      </items>
    </pivotField>
    <pivotField axis="axisPage" compact="0" outline="0" showAll="0">
      <items count="37">
        <item x="13"/>
        <item x="26"/>
        <item x="29"/>
        <item x="24"/>
        <item x="23"/>
        <item x="3"/>
        <item x="6"/>
        <item x="12"/>
        <item x="35"/>
        <item x="31"/>
        <item x="5"/>
        <item x="30"/>
        <item x="8"/>
        <item x="19"/>
        <item x="9"/>
        <item x="15"/>
        <item x="2"/>
        <item x="4"/>
        <item x="25"/>
        <item x="28"/>
        <item x="32"/>
        <item x="21"/>
        <item x="34"/>
        <item x="33"/>
        <item x="0"/>
        <item x="17"/>
        <item x="7"/>
        <item x="22"/>
        <item x="10"/>
        <item x="16"/>
        <item x="20"/>
        <item x="14"/>
        <item x="18"/>
        <item x="27"/>
        <item x="11"/>
        <item x="1"/>
        <item t="default"/>
      </items>
    </pivotField>
    <pivotField axis="axisPage" compact="0" outline="0" showAll="0">
      <items count="124">
        <item x="32"/>
        <item x="47"/>
        <item x="7"/>
        <item x="16"/>
        <item x="15"/>
        <item x="61"/>
        <item x="48"/>
        <item x="111"/>
        <item x="62"/>
        <item x="38"/>
        <item x="73"/>
        <item x="106"/>
        <item x="44"/>
        <item x="76"/>
        <item x="104"/>
        <item x="67"/>
        <item x="78"/>
        <item x="84"/>
        <item x="88"/>
        <item x="56"/>
        <item x="98"/>
        <item x="97"/>
        <item x="58"/>
        <item x="77"/>
        <item x="102"/>
        <item x="107"/>
        <item x="39"/>
        <item x="12"/>
        <item x="19"/>
        <item x="71"/>
        <item x="24"/>
        <item x="4"/>
        <item x="33"/>
        <item x="27"/>
        <item x="34"/>
        <item x="93"/>
        <item x="29"/>
        <item x="86"/>
        <item x="114"/>
        <item x="21"/>
        <item x="8"/>
        <item x="28"/>
        <item x="20"/>
        <item x="116"/>
        <item x="10"/>
        <item x="25"/>
        <item x="23"/>
        <item x="37"/>
        <item x="40"/>
        <item x="110"/>
        <item x="70"/>
        <item x="22"/>
        <item x="108"/>
        <item x="117"/>
        <item x="94"/>
        <item x="51"/>
        <item x="1"/>
        <item x="3"/>
        <item x="45"/>
        <item x="81"/>
        <item x="60"/>
        <item x="59"/>
        <item x="64"/>
        <item x="43"/>
        <item x="63"/>
        <item x="80"/>
        <item x="72"/>
        <item x="53"/>
        <item x="96"/>
        <item x="35"/>
        <item x="103"/>
        <item x="17"/>
        <item x="41"/>
        <item x="49"/>
        <item x="83"/>
        <item x="26"/>
        <item x="82"/>
        <item x="118"/>
        <item x="99"/>
        <item x="14"/>
        <item x="79"/>
        <item x="95"/>
        <item x="11"/>
        <item x="89"/>
        <item x="13"/>
        <item x="50"/>
        <item x="122"/>
        <item x="92"/>
        <item x="90"/>
        <item x="91"/>
        <item x="9"/>
        <item x="6"/>
        <item x="5"/>
        <item x="2"/>
        <item x="75"/>
        <item x="54"/>
        <item x="36"/>
        <item x="42"/>
        <item x="46"/>
        <item x="55"/>
        <item x="65"/>
        <item x="68"/>
        <item x="57"/>
        <item x="69"/>
        <item x="87"/>
        <item x="112"/>
        <item x="109"/>
        <item x="101"/>
        <item x="119"/>
        <item x="120"/>
        <item x="66"/>
        <item x="30"/>
        <item x="115"/>
        <item x="31"/>
        <item x="113"/>
        <item x="85"/>
        <item x="121"/>
        <item x="52"/>
        <item x="105"/>
        <item x="74"/>
        <item x="100"/>
        <item x="18"/>
        <item x="0"/>
        <item t="default"/>
      </items>
    </pivotField>
    <pivotField compact="0" outline="0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hier="-1"/>
    <pageField fld="8" hier="-1"/>
  </pageFields>
  <dataFields count="3">
    <dataField name="Suma de Saldo de diferencia" fld="3" baseField="0" baseItem="0"/>
    <dataField name="Suma de Precio Inicial " fld="1" baseField="0" baseItem="0"/>
    <dataField name="Suma de Precio Final" fld="2" baseField="0" baseItem="0"/>
  </dataFields>
  <formats count="3">
    <format dxfId="12">
      <pivotArea outline="0" collapsedLevelsAreSubtotals="1" fieldPosition="0"/>
    </format>
    <format dxfId="13">
      <pivotArea field="6" type="button" dataOnly="0" labelOnly="1" outline="0" axis="axisRow" fieldPosition="0"/>
    </format>
    <format dxfId="14">
      <pivotArea dataOnly="0" labelOnly="1" outline="0" fieldPosition="0">
        <references count="1">
          <reference field="6" count="0"/>
        </references>
      </pivotArea>
    </format>
  </format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6" count="1" selected="0">
            <x v="5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6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8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9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10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2"/>
          </reference>
          <reference field="6" count="1" selected="0">
            <x v="0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2"/>
          </reference>
          <reference field="6" count="1" selected="0">
            <x v="1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2"/>
          </reference>
          <reference field="6" count="1" selected="0">
            <x v="2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2"/>
          </reference>
          <reference field="6" count="1" selected="0">
            <x v="3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2"/>
          </reference>
          <reference field="6" count="1" selected="0">
            <x v="4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2"/>
          </reference>
          <reference field="6" count="1" selected="0">
            <x v="5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2"/>
          </reference>
          <reference field="6" count="1" selected="0">
            <x v="6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2"/>
          </reference>
          <reference field="6" count="1" selected="0">
            <x v="7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2"/>
          </reference>
          <reference field="6" count="1" selected="0">
            <x v="8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2"/>
          </reference>
          <reference field="6" count="1" selected="0">
            <x v="9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2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6758C-7EC5-4FCF-90F3-323582C5744C}" name="TablaDinámica1" cacheId="16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5:D18" firstHeaderRow="0" firstDataRow="1" firstDataCol="1" rowPageCount="3" colPageCount="1"/>
  <pivotFields count="10">
    <pivotField axis="axisPage" compact="0" outline="0" showAll="0">
      <items count="115">
        <item x="14"/>
        <item x="28"/>
        <item x="40"/>
        <item x="52"/>
        <item x="71"/>
        <item x="86"/>
        <item x="93"/>
        <item x="97"/>
        <item x="107"/>
        <item x="19"/>
        <item x="12"/>
        <item x="100"/>
        <item x="10"/>
        <item x="42"/>
        <item x="81"/>
        <item x="22"/>
        <item x="8"/>
        <item x="46"/>
        <item x="51"/>
        <item x="1"/>
        <item x="53"/>
        <item x="74"/>
        <item x="105"/>
        <item x="89"/>
        <item x="11"/>
        <item x="88"/>
        <item x="87"/>
        <item x="35"/>
        <item x="67"/>
        <item x="38"/>
        <item x="111"/>
        <item x="94"/>
        <item x="36"/>
        <item x="85"/>
        <item x="34"/>
        <item x="37"/>
        <item x="84"/>
        <item x="102"/>
        <item x="39"/>
        <item x="9"/>
        <item x="48"/>
        <item x="65"/>
        <item x="68"/>
        <item x="43"/>
        <item x="92"/>
        <item x="6"/>
        <item x="4"/>
        <item x="5"/>
        <item x="31"/>
        <item x="101"/>
        <item x="26"/>
        <item x="50"/>
        <item x="75"/>
        <item x="54"/>
        <item x="47"/>
        <item x="13"/>
        <item x="96"/>
        <item x="24"/>
        <item x="80"/>
        <item x="69"/>
        <item x="41"/>
        <item x="77"/>
        <item x="20"/>
        <item x="30"/>
        <item x="109"/>
        <item x="0"/>
        <item x="98"/>
        <item x="49"/>
        <item x="104"/>
        <item x="103"/>
        <item x="45"/>
        <item x="18"/>
        <item x="79"/>
        <item x="27"/>
        <item x="82"/>
        <item x="58"/>
        <item x="59"/>
        <item x="70"/>
        <item x="2"/>
        <item x="76"/>
        <item x="32"/>
        <item x="3"/>
        <item x="91"/>
        <item x="99"/>
        <item x="61"/>
        <item x="55"/>
        <item x="95"/>
        <item x="17"/>
        <item x="112"/>
        <item x="15"/>
        <item x="56"/>
        <item x="63"/>
        <item x="21"/>
        <item x="25"/>
        <item x="62"/>
        <item x="29"/>
        <item x="110"/>
        <item x="113"/>
        <item x="72"/>
        <item x="57"/>
        <item x="60"/>
        <item x="90"/>
        <item x="7"/>
        <item x="33"/>
        <item x="83"/>
        <item x="108"/>
        <item x="78"/>
        <item x="73"/>
        <item x="16"/>
        <item x="23"/>
        <item x="44"/>
        <item x="106"/>
        <item x="64"/>
        <item x="66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4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h="1" x="1"/>
        <item t="default"/>
      </items>
    </pivotField>
    <pivotField axis="axisPage" compact="0" outline="0" showAll="0">
      <items count="29">
        <item x="24"/>
        <item x="27"/>
        <item x="6"/>
        <item x="7"/>
        <item x="26"/>
        <item x="17"/>
        <item x="22"/>
        <item x="14"/>
        <item x="18"/>
        <item x="2"/>
        <item x="5"/>
        <item x="10"/>
        <item x="8"/>
        <item x="4"/>
        <item x="20"/>
        <item x="13"/>
        <item x="25"/>
        <item x="9"/>
        <item x="0"/>
        <item x="16"/>
        <item x="21"/>
        <item x="1"/>
        <item x="11"/>
        <item x="12"/>
        <item x="15"/>
        <item x="19"/>
        <item x="23"/>
        <item x="3"/>
        <item t="default"/>
      </items>
    </pivotField>
    <pivotField axis="axisPage" compact="0" outline="0" showAll="0">
      <items count="72">
        <item x="41"/>
        <item x="65"/>
        <item x="6"/>
        <item x="22"/>
        <item x="21"/>
        <item x="18"/>
        <item x="61"/>
        <item x="46"/>
        <item x="9"/>
        <item x="55"/>
        <item x="54"/>
        <item x="13"/>
        <item x="16"/>
        <item x="67"/>
        <item x="64"/>
        <item x="62"/>
        <item x="53"/>
        <item x="50"/>
        <item x="38"/>
        <item x="60"/>
        <item x="27"/>
        <item x="10"/>
        <item x="7"/>
        <item x="2"/>
        <item x="59"/>
        <item x="69"/>
        <item x="34"/>
        <item x="58"/>
        <item x="4"/>
        <item x="33"/>
        <item x="29"/>
        <item x="43"/>
        <item x="24"/>
        <item x="25"/>
        <item x="35"/>
        <item x="47"/>
        <item x="1"/>
        <item x="63"/>
        <item x="66"/>
        <item x="31"/>
        <item x="11"/>
        <item x="40"/>
        <item x="39"/>
        <item x="49"/>
        <item x="48"/>
        <item x="23"/>
        <item x="26"/>
        <item x="12"/>
        <item x="5"/>
        <item x="3"/>
        <item x="8"/>
        <item x="32"/>
        <item x="20"/>
        <item x="51"/>
        <item x="30"/>
        <item x="57"/>
        <item x="42"/>
        <item x="68"/>
        <item x="52"/>
        <item x="28"/>
        <item x="19"/>
        <item x="17"/>
        <item x="36"/>
        <item x="70"/>
        <item x="45"/>
        <item x="14"/>
        <item x="15"/>
        <item x="37"/>
        <item x="56"/>
        <item x="44"/>
        <item x="0"/>
        <item t="default"/>
      </items>
    </pivotField>
    <pivotField compact="0" outline="0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7" hier="-1"/>
    <pageField fld="8" hier="-1"/>
    <pageField fld="0" hier="-1"/>
  </pageFields>
  <dataFields count="3">
    <dataField name="Suma de Saldo de diferencia" fld="3" baseField="0" baseItem="0" numFmtId="165"/>
    <dataField name="Suma de Precio Inicial " fld="1" baseField="0" baseItem="0" numFmtId="165"/>
    <dataField name="Suma de Precio Final" fld="2" baseField="0" baseItem="0" numFmtId="165"/>
  </dataFields>
  <formats count="6">
    <format dxfId="6">
      <pivotArea outline="0" fieldPosition="0">
        <references count="1">
          <reference field="4294967294" count="1" selected="0">
            <x v="0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outline="0" fieldPosition="0">
        <references count="1">
          <reference field="4294967294" count="1" selected="0">
            <x v="1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">
      <pivotArea outline="0" fieldPosition="0">
        <references count="1">
          <reference field="4294967294" count="1" selected="0">
            <x v="2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3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5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6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7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8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9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10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1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2"/>
          </reference>
          <reference field="6" count="1" selected="0">
            <x v="0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2"/>
          </reference>
          <reference field="6" count="1" selected="0">
            <x v="1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2"/>
          </reference>
          <reference field="6" count="1" selected="0">
            <x v="2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2"/>
          </reference>
          <reference field="6" count="1" selected="0">
            <x v="3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2"/>
          </reference>
          <reference field="6" count="1" selected="0">
            <x v="4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2"/>
          </reference>
          <reference field="6" count="1" selected="0">
            <x v="5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2"/>
          </reference>
          <reference field="6" count="1" selected="0">
            <x v="6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2"/>
          </reference>
          <reference field="6" count="1" selected="0">
            <x v="7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2"/>
          </reference>
          <reference field="6" count="1" selected="0">
            <x v="8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2"/>
          </reference>
          <reference field="6" count="1" selected="0">
            <x v="9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2"/>
          </reference>
          <reference field="6" count="1" selected="0">
            <x v="10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2"/>
          </reference>
          <reference field="6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C6CCB-CBAC-42F6-ABD7-65906957A0FB}" name="TablaDinámica1" cacheId="16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6:D11" firstHeaderRow="0" firstDataRow="1" firstDataCol="1" rowPageCount="3" colPageCount="1"/>
  <pivotFields count="9">
    <pivotField axis="axisPage" compact="0" outline="0" showAll="0">
      <items count="79">
        <item x="17"/>
        <item x="4"/>
        <item x="8"/>
        <item x="30"/>
        <item x="33"/>
        <item x="31"/>
        <item x="19"/>
        <item x="25"/>
        <item x="29"/>
        <item x="36"/>
        <item x="37"/>
        <item x="0"/>
        <item x="7"/>
        <item x="38"/>
        <item x="35"/>
        <item x="23"/>
        <item x="28"/>
        <item x="10"/>
        <item x="11"/>
        <item x="3"/>
        <item x="21"/>
        <item x="12"/>
        <item x="5"/>
        <item x="40"/>
        <item x="41"/>
        <item x="42"/>
        <item x="34"/>
        <item x="1"/>
        <item x="15"/>
        <item x="9"/>
        <item x="27"/>
        <item x="22"/>
        <item x="32"/>
        <item x="16"/>
        <item x="2"/>
        <item x="18"/>
        <item x="43"/>
        <item x="13"/>
        <item x="39"/>
        <item x="26"/>
        <item x="14"/>
        <item x="20"/>
        <item x="24"/>
        <item x="6"/>
        <item x="77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axis="axisRow" compact="0" outline="0" multipleItemSelectionAllowed="1" showAll="0">
      <items count="7">
        <item x="0"/>
        <item x="2"/>
        <item h="1" x="1"/>
        <item x="3"/>
        <item m="1" x="5"/>
        <item x="4"/>
        <item t="default"/>
      </items>
    </pivotField>
    <pivotField axis="axisPage" compact="0" outline="0" showAll="0">
      <items count="18">
        <item x="1"/>
        <item x="2"/>
        <item x="6"/>
        <item x="4"/>
        <item x="3"/>
        <item x="9"/>
        <item x="8"/>
        <item x="0"/>
        <item x="5"/>
        <item x="10"/>
        <item x="11"/>
        <item x="7"/>
        <item x="12"/>
        <item x="13"/>
        <item x="14"/>
        <item x="15"/>
        <item x="16"/>
        <item t="default"/>
      </items>
    </pivotField>
    <pivotField axis="axisPage" compact="0" outline="0" showAll="0">
      <items count="55">
        <item x="15"/>
        <item x="4"/>
        <item x="10"/>
        <item x="24"/>
        <item x="8"/>
        <item x="13"/>
        <item x="9"/>
        <item x="5"/>
        <item x="14"/>
        <item x="21"/>
        <item x="12"/>
        <item x="7"/>
        <item x="19"/>
        <item x="23"/>
        <item x="18"/>
        <item x="22"/>
        <item x="2"/>
        <item x="11"/>
        <item x="16"/>
        <item x="20"/>
        <item x="0"/>
        <item x="3"/>
        <item x="6"/>
        <item x="17"/>
        <item x="1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</pivotFields>
  <rowFields count="1">
    <field x="6"/>
  </rowFields>
  <rowItems count="5">
    <i>
      <x/>
    </i>
    <i>
      <x v="1"/>
    </i>
    <i>
      <x v="3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7" hier="-1"/>
    <pageField fld="8" hier="-1"/>
    <pageField fld="0" hier="-1"/>
  </pageFields>
  <dataFields count="3">
    <dataField name="Suma de Saldo de diferencia" fld="3" baseField="0" baseItem="0" numFmtId="165"/>
    <dataField name="Suma de Precio Inicial " fld="1" baseField="0" baseItem="0" numFmtId="165"/>
    <dataField name="Suma de Precio Final" fld="2" baseField="0" baseItem="0" numFmtId="165"/>
  </dataFields>
  <formats count="6">
    <format dxfId="0">
      <pivotArea outline="0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outline="0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">
      <pivotArea outline="0" fieldPosition="0">
        <references count="1">
          <reference field="4294967294" count="1" selected="0">
            <x v="2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2"/>
          </reference>
          <reference field="6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2"/>
          </reference>
          <reference field="6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6" count="1" selected="0">
            <x v="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6" count="1" selected="0">
            <x v="5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2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39" dT="2026-02-09T14:17:34.29" personId="{41A5CFAD-B54F-457C-A15A-0367B60C414D}" id="{09B26652-3D05-4427-A667-B326508BCA0E}">
    <text xml:space="preserve">presupuesto oficial sin controlar creado por servicios, basado en costello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00"/>
  <sheetViews>
    <sheetView tabSelected="1" workbookViewId="0">
      <pane ySplit="1" topLeftCell="A1045" activePane="bottomLeft" state="frozen"/>
      <selection pane="bottomLeft" activeCell="I1079" sqref="I1079"/>
    </sheetView>
  </sheetViews>
  <sheetFormatPr defaultColWidth="11.42578125" defaultRowHeight="15"/>
  <cols>
    <col min="1" max="1" width="28.7109375" style="10" bestFit="1" customWidth="1"/>
    <col min="2" max="3" width="18.7109375" style="15" bestFit="1" customWidth="1"/>
    <col min="4" max="4" width="19" style="15" bestFit="1" customWidth="1"/>
    <col min="5" max="5" width="12.140625" style="15" customWidth="1"/>
    <col min="6" max="6" width="62.42578125" style="15" customWidth="1"/>
    <col min="7" max="7" width="14" style="47" bestFit="1" customWidth="1"/>
    <col min="8" max="8" width="13.28515625" style="15" bestFit="1" customWidth="1"/>
    <col min="9" max="9" width="39.5703125" style="15" customWidth="1"/>
    <col min="10" max="10" width="17.7109375" style="37" bestFit="1" customWidth="1"/>
    <col min="11" max="11" width="17.42578125" bestFit="1" customWidth="1"/>
  </cols>
  <sheetData>
    <row r="1" spans="1:10">
      <c r="A1" s="6" t="s">
        <v>0</v>
      </c>
      <c r="B1" s="16" t="s">
        <v>1</v>
      </c>
      <c r="C1" s="16" t="s">
        <v>2</v>
      </c>
      <c r="D1" s="16" t="s">
        <v>3</v>
      </c>
      <c r="E1" s="5" t="s">
        <v>4</v>
      </c>
      <c r="F1" s="11" t="s">
        <v>5</v>
      </c>
      <c r="G1" s="46" t="s">
        <v>6</v>
      </c>
      <c r="H1" s="11" t="s">
        <v>7</v>
      </c>
      <c r="I1" s="11" t="s">
        <v>8</v>
      </c>
      <c r="J1" s="36" t="s">
        <v>9</v>
      </c>
    </row>
    <row r="2" spans="1:10">
      <c r="A2" s="26" t="s">
        <v>10</v>
      </c>
      <c r="B2" s="27">
        <v>1372795</v>
      </c>
      <c r="C2" s="27">
        <v>878542</v>
      </c>
      <c r="D2" s="27">
        <f>B2-C2</f>
        <v>494253</v>
      </c>
      <c r="E2" s="28">
        <f>(B2-C2)/C2</f>
        <v>0.56258323449533432</v>
      </c>
      <c r="F2" s="21" t="s">
        <v>11</v>
      </c>
      <c r="G2" s="105" t="s">
        <v>12</v>
      </c>
      <c r="H2" s="21" t="s">
        <v>13</v>
      </c>
      <c r="I2" s="21"/>
      <c r="J2" s="124">
        <f>SUM(D2:D43)</f>
        <v>33353068.829999998</v>
      </c>
    </row>
    <row r="3" spans="1:10">
      <c r="A3" s="26" t="s">
        <v>10</v>
      </c>
      <c r="B3" s="27">
        <v>2309468.75</v>
      </c>
      <c r="C3" s="27">
        <v>1727722</v>
      </c>
      <c r="D3" s="27">
        <f>B3-C3</f>
        <v>581746.75</v>
      </c>
      <c r="E3" s="28">
        <f t="shared" ref="E3:E64" si="0">(B3-C3)/C3</f>
        <v>0.33671316913253407</v>
      </c>
      <c r="F3" s="21" t="s">
        <v>11</v>
      </c>
      <c r="G3" s="105" t="s">
        <v>12</v>
      </c>
      <c r="H3" s="21" t="s">
        <v>13</v>
      </c>
      <c r="I3" s="21"/>
      <c r="J3" s="124"/>
    </row>
    <row r="4" spans="1:10">
      <c r="A4" s="26" t="s">
        <v>14</v>
      </c>
      <c r="B4" s="27">
        <v>1879100</v>
      </c>
      <c r="C4" s="27">
        <v>1701800</v>
      </c>
      <c r="D4" s="27">
        <f t="shared" ref="D4:D66" si="1">B4-C4</f>
        <v>177300</v>
      </c>
      <c r="E4" s="28">
        <f t="shared" si="0"/>
        <v>0.10418380538253613</v>
      </c>
      <c r="F4" s="21" t="s">
        <v>15</v>
      </c>
      <c r="G4" s="105" t="s">
        <v>12</v>
      </c>
      <c r="H4" s="21"/>
      <c r="I4" s="21"/>
      <c r="J4" s="124"/>
    </row>
    <row r="5" spans="1:10">
      <c r="A5" s="26" t="s">
        <v>16</v>
      </c>
      <c r="B5" s="27">
        <v>898450</v>
      </c>
      <c r="C5" s="27">
        <v>766000</v>
      </c>
      <c r="D5" s="27">
        <f t="shared" si="1"/>
        <v>132450</v>
      </c>
      <c r="E5" s="28">
        <f t="shared" si="0"/>
        <v>0.172911227154047</v>
      </c>
      <c r="F5" s="21" t="s">
        <v>17</v>
      </c>
      <c r="G5" s="105" t="s">
        <v>12</v>
      </c>
      <c r="H5" s="21"/>
      <c r="I5" s="21"/>
      <c r="J5" s="124"/>
    </row>
    <row r="6" spans="1:10">
      <c r="A6" s="26" t="s">
        <v>18</v>
      </c>
      <c r="B6" s="27">
        <v>7189750</v>
      </c>
      <c r="C6" s="27">
        <v>3226157.54</v>
      </c>
      <c r="D6" s="27">
        <f t="shared" si="1"/>
        <v>3963592.46</v>
      </c>
      <c r="E6" s="28">
        <f t="shared" si="0"/>
        <v>1.2285799471528598</v>
      </c>
      <c r="F6" s="21" t="s">
        <v>19</v>
      </c>
      <c r="G6" s="105" t="s">
        <v>12</v>
      </c>
      <c r="H6" s="21" t="s">
        <v>20</v>
      </c>
      <c r="I6" s="21" t="s">
        <v>21</v>
      </c>
      <c r="J6" s="124"/>
    </row>
    <row r="7" spans="1:10">
      <c r="A7" s="26" t="s">
        <v>22</v>
      </c>
      <c r="B7" s="27">
        <v>33794916</v>
      </c>
      <c r="C7" s="27">
        <v>32010596</v>
      </c>
      <c r="D7" s="27">
        <f t="shared" si="1"/>
        <v>1784320</v>
      </c>
      <c r="E7" s="28">
        <f t="shared" si="0"/>
        <v>5.5741542581712628E-2</v>
      </c>
      <c r="F7" s="21" t="s">
        <v>23</v>
      </c>
      <c r="G7" s="105" t="s">
        <v>12</v>
      </c>
      <c r="H7" s="21"/>
      <c r="I7" s="21"/>
      <c r="J7" s="124"/>
    </row>
    <row r="8" spans="1:10">
      <c r="A8" s="26" t="s">
        <v>16</v>
      </c>
      <c r="B8" s="27">
        <v>4853700</v>
      </c>
      <c r="C8" s="27">
        <v>4368330</v>
      </c>
      <c r="D8" s="27">
        <f t="shared" si="1"/>
        <v>485370</v>
      </c>
      <c r="E8" s="28">
        <f t="shared" si="0"/>
        <v>0.1111111111111111</v>
      </c>
      <c r="F8" s="21" t="s">
        <v>17</v>
      </c>
      <c r="G8" s="105" t="s">
        <v>12</v>
      </c>
      <c r="H8" s="21"/>
      <c r="I8" s="21"/>
      <c r="J8" s="124"/>
    </row>
    <row r="9" spans="1:10">
      <c r="A9" s="26" t="s">
        <v>24</v>
      </c>
      <c r="B9" s="27">
        <v>2089470</v>
      </c>
      <c r="C9" s="27">
        <v>1540560</v>
      </c>
      <c r="D9" s="27">
        <f t="shared" si="1"/>
        <v>548910</v>
      </c>
      <c r="E9" s="28">
        <f t="shared" si="0"/>
        <v>0.35630549929895622</v>
      </c>
      <c r="F9" s="21" t="s">
        <v>25</v>
      </c>
      <c r="G9" s="105" t="s">
        <v>12</v>
      </c>
      <c r="H9" s="21" t="s">
        <v>13</v>
      </c>
      <c r="I9" s="21"/>
      <c r="J9" s="124"/>
    </row>
    <row r="10" spans="1:10">
      <c r="A10" s="26" t="s">
        <v>26</v>
      </c>
      <c r="B10" s="27">
        <v>2325994</v>
      </c>
      <c r="C10" s="27">
        <v>2016851</v>
      </c>
      <c r="D10" s="27">
        <f t="shared" si="1"/>
        <v>309143</v>
      </c>
      <c r="E10" s="28">
        <f t="shared" si="0"/>
        <v>0.15328003903114309</v>
      </c>
      <c r="F10" s="21" t="s">
        <v>27</v>
      </c>
      <c r="G10" s="105" t="s">
        <v>12</v>
      </c>
      <c r="H10" s="21" t="s">
        <v>13</v>
      </c>
      <c r="I10" s="21" t="s">
        <v>28</v>
      </c>
      <c r="J10" s="124"/>
    </row>
    <row r="11" spans="1:10">
      <c r="A11" s="26" t="s">
        <v>29</v>
      </c>
      <c r="B11" s="27">
        <v>1624481</v>
      </c>
      <c r="C11" s="27">
        <v>1380743</v>
      </c>
      <c r="D11" s="27">
        <f t="shared" si="1"/>
        <v>243738</v>
      </c>
      <c r="E11" s="28">
        <f t="shared" si="0"/>
        <v>0.17652669613389313</v>
      </c>
      <c r="F11" s="21" t="s">
        <v>23</v>
      </c>
      <c r="G11" s="105" t="s">
        <v>12</v>
      </c>
      <c r="H11" s="21" t="s">
        <v>30</v>
      </c>
      <c r="I11" s="21" t="s">
        <v>31</v>
      </c>
      <c r="J11" s="124"/>
    </row>
    <row r="12" spans="1:10">
      <c r="A12" s="26" t="s">
        <v>32</v>
      </c>
      <c r="B12" s="27">
        <v>4511660</v>
      </c>
      <c r="C12" s="27">
        <v>4193660</v>
      </c>
      <c r="D12" s="27">
        <f t="shared" si="1"/>
        <v>318000</v>
      </c>
      <c r="E12" s="28">
        <f t="shared" si="0"/>
        <v>7.5828751019395943E-2</v>
      </c>
      <c r="F12" s="21" t="s">
        <v>33</v>
      </c>
      <c r="G12" s="105" t="s">
        <v>12</v>
      </c>
      <c r="H12" s="21"/>
      <c r="I12" s="21"/>
      <c r="J12" s="124"/>
    </row>
    <row r="13" spans="1:10">
      <c r="A13" s="26" t="s">
        <v>34</v>
      </c>
      <c r="B13" s="27">
        <v>3945320</v>
      </c>
      <c r="C13" s="27">
        <v>3355470</v>
      </c>
      <c r="D13" s="27">
        <f t="shared" si="1"/>
        <v>589850</v>
      </c>
      <c r="E13" s="28">
        <f t="shared" si="0"/>
        <v>0.17578759458436524</v>
      </c>
      <c r="F13" s="21" t="s">
        <v>35</v>
      </c>
      <c r="G13" s="105" t="s">
        <v>12</v>
      </c>
      <c r="H13" s="21"/>
      <c r="I13" s="21"/>
      <c r="J13" s="124"/>
    </row>
    <row r="14" spans="1:10">
      <c r="A14" s="26" t="s">
        <v>34</v>
      </c>
      <c r="B14" s="27">
        <v>1074110</v>
      </c>
      <c r="C14" s="27">
        <v>966701</v>
      </c>
      <c r="D14" s="27">
        <f t="shared" si="1"/>
        <v>107409</v>
      </c>
      <c r="E14" s="28">
        <f t="shared" si="0"/>
        <v>0.11110881234218233</v>
      </c>
      <c r="F14" s="21" t="s">
        <v>35</v>
      </c>
      <c r="G14" s="105" t="s">
        <v>12</v>
      </c>
      <c r="H14" s="21"/>
      <c r="I14" s="21"/>
      <c r="J14" s="124"/>
    </row>
    <row r="15" spans="1:10">
      <c r="A15" s="26" t="s">
        <v>36</v>
      </c>
      <c r="B15" s="27">
        <v>128000</v>
      </c>
      <c r="C15" s="27">
        <v>115000</v>
      </c>
      <c r="D15" s="27">
        <f t="shared" si="1"/>
        <v>13000</v>
      </c>
      <c r="E15" s="28">
        <f t="shared" si="0"/>
        <v>0.11304347826086956</v>
      </c>
      <c r="F15" s="21" t="s">
        <v>37</v>
      </c>
      <c r="G15" s="105" t="s">
        <v>12</v>
      </c>
      <c r="H15" s="21" t="s">
        <v>38</v>
      </c>
      <c r="I15" s="21"/>
      <c r="J15" s="124"/>
    </row>
    <row r="16" spans="1:10">
      <c r="A16" s="26" t="s">
        <v>39</v>
      </c>
      <c r="B16" s="27">
        <v>195822</v>
      </c>
      <c r="C16" s="27">
        <v>180007</v>
      </c>
      <c r="D16" s="27">
        <f t="shared" si="1"/>
        <v>15815</v>
      </c>
      <c r="E16" s="28">
        <f t="shared" si="0"/>
        <v>8.7857694422994667E-2</v>
      </c>
      <c r="F16" s="21" t="s">
        <v>40</v>
      </c>
      <c r="G16" s="105" t="s">
        <v>12</v>
      </c>
      <c r="H16" s="21"/>
      <c r="I16" s="21"/>
      <c r="J16" s="124"/>
    </row>
    <row r="17" spans="1:10">
      <c r="A17" s="26" t="s">
        <v>34</v>
      </c>
      <c r="B17" s="27">
        <v>493440</v>
      </c>
      <c r="C17" s="27">
        <v>456859</v>
      </c>
      <c r="D17" s="27">
        <f t="shared" si="1"/>
        <v>36581</v>
      </c>
      <c r="E17" s="28">
        <f t="shared" si="0"/>
        <v>8.0070656373191731E-2</v>
      </c>
      <c r="F17" s="21" t="s">
        <v>41</v>
      </c>
      <c r="G17" s="105" t="s">
        <v>12</v>
      </c>
      <c r="H17" s="21"/>
      <c r="I17" s="21"/>
      <c r="J17" s="124"/>
    </row>
    <row r="18" spans="1:10">
      <c r="A18" s="26" t="s">
        <v>36</v>
      </c>
      <c r="B18" s="27">
        <v>250000</v>
      </c>
      <c r="C18" s="27">
        <v>200000</v>
      </c>
      <c r="D18" s="27">
        <f t="shared" si="1"/>
        <v>50000</v>
      </c>
      <c r="E18" s="28">
        <f t="shared" ref="E18" si="2">(B18-C18)/C18</f>
        <v>0.25</v>
      </c>
      <c r="F18" s="21" t="s">
        <v>37</v>
      </c>
      <c r="G18" s="105" t="s">
        <v>12</v>
      </c>
      <c r="H18" s="21" t="s">
        <v>42</v>
      </c>
      <c r="I18" s="21"/>
      <c r="J18" s="124"/>
    </row>
    <row r="19" spans="1:10">
      <c r="A19" s="26" t="s">
        <v>34</v>
      </c>
      <c r="B19" s="27">
        <v>197280</v>
      </c>
      <c r="C19" s="27">
        <v>187416</v>
      </c>
      <c r="D19" s="27">
        <f t="shared" si="1"/>
        <v>9864</v>
      </c>
      <c r="E19" s="28">
        <f t="shared" si="0"/>
        <v>5.2631578947368418E-2</v>
      </c>
      <c r="F19" s="21" t="s">
        <v>43</v>
      </c>
      <c r="G19" s="105" t="s">
        <v>12</v>
      </c>
      <c r="H19" s="21"/>
      <c r="I19" s="21"/>
      <c r="J19" s="124"/>
    </row>
    <row r="20" spans="1:10">
      <c r="A20" s="26" t="s">
        <v>44</v>
      </c>
      <c r="B20" s="27">
        <v>1873830</v>
      </c>
      <c r="C20" s="27">
        <v>1447180</v>
      </c>
      <c r="D20" s="27">
        <f t="shared" si="1"/>
        <v>426650</v>
      </c>
      <c r="E20" s="28">
        <f t="shared" si="0"/>
        <v>0.29481474315565442</v>
      </c>
      <c r="F20" s="21" t="s">
        <v>45</v>
      </c>
      <c r="G20" s="105" t="s">
        <v>12</v>
      </c>
      <c r="H20" s="21" t="s">
        <v>30</v>
      </c>
      <c r="I20" s="21" t="s">
        <v>46</v>
      </c>
      <c r="J20" s="124"/>
    </row>
    <row r="21" spans="1:10">
      <c r="A21" s="26" t="s">
        <v>47</v>
      </c>
      <c r="B21" s="27">
        <v>883058</v>
      </c>
      <c r="C21" s="27">
        <v>679000</v>
      </c>
      <c r="D21" s="27">
        <f t="shared" si="1"/>
        <v>204058</v>
      </c>
      <c r="E21" s="28">
        <f t="shared" si="0"/>
        <v>0.30052724594992636</v>
      </c>
      <c r="F21" s="21" t="s">
        <v>48</v>
      </c>
      <c r="G21" s="105" t="s">
        <v>12</v>
      </c>
      <c r="H21" s="21" t="s">
        <v>30</v>
      </c>
      <c r="I21" s="21" t="s">
        <v>49</v>
      </c>
      <c r="J21" s="124"/>
    </row>
    <row r="22" spans="1:10">
      <c r="A22" s="26" t="s">
        <v>50</v>
      </c>
      <c r="B22" s="27">
        <v>1068086.1499999999</v>
      </c>
      <c r="C22" s="27">
        <v>960214.63</v>
      </c>
      <c r="D22" s="27">
        <f t="shared" si="1"/>
        <v>107871.5199999999</v>
      </c>
      <c r="E22" s="28">
        <f t="shared" si="0"/>
        <v>0.11234105025040068</v>
      </c>
      <c r="F22" s="21" t="s">
        <v>51</v>
      </c>
      <c r="G22" s="105" t="s">
        <v>12</v>
      </c>
      <c r="H22" s="21" t="s">
        <v>30</v>
      </c>
      <c r="I22" s="21" t="s">
        <v>52</v>
      </c>
      <c r="J22" s="124"/>
    </row>
    <row r="23" spans="1:10">
      <c r="A23" s="26" t="s">
        <v>50</v>
      </c>
      <c r="B23" s="27">
        <v>664230</v>
      </c>
      <c r="C23" s="27">
        <v>612290</v>
      </c>
      <c r="D23" s="27">
        <f t="shared" si="1"/>
        <v>51940</v>
      </c>
      <c r="E23" s="28">
        <f t="shared" ref="E23" si="3">(B23-C23)/C23</f>
        <v>8.4829084257459705E-2</v>
      </c>
      <c r="F23" s="21" t="s">
        <v>51</v>
      </c>
      <c r="G23" s="105" t="s">
        <v>12</v>
      </c>
      <c r="H23" s="21" t="s">
        <v>30</v>
      </c>
      <c r="I23" s="21" t="s">
        <v>52</v>
      </c>
      <c r="J23" s="124"/>
    </row>
    <row r="24" spans="1:10">
      <c r="A24" s="26" t="s">
        <v>50</v>
      </c>
      <c r="B24" s="27">
        <v>95302.61</v>
      </c>
      <c r="C24" s="27">
        <v>85697.43</v>
      </c>
      <c r="D24" s="27">
        <f t="shared" si="1"/>
        <v>9605.1800000000076</v>
      </c>
      <c r="E24" s="28">
        <f t="shared" si="0"/>
        <v>0.11208247435191473</v>
      </c>
      <c r="F24" s="21" t="s">
        <v>53</v>
      </c>
      <c r="G24" s="105" t="s">
        <v>12</v>
      </c>
      <c r="H24" s="21" t="s">
        <v>30</v>
      </c>
      <c r="I24" s="21" t="s">
        <v>52</v>
      </c>
      <c r="J24" s="124"/>
    </row>
    <row r="25" spans="1:10">
      <c r="A25" s="26" t="s">
        <v>50</v>
      </c>
      <c r="B25" s="27">
        <v>320041.62</v>
      </c>
      <c r="C25" s="27">
        <v>307089.86</v>
      </c>
      <c r="D25" s="27">
        <f t="shared" si="1"/>
        <v>12951.760000000009</v>
      </c>
      <c r="E25" s="28">
        <f t="shared" si="0"/>
        <v>4.2175798315190249E-2</v>
      </c>
      <c r="F25" s="21" t="s">
        <v>54</v>
      </c>
      <c r="G25" s="105" t="s">
        <v>12</v>
      </c>
      <c r="H25" s="21" t="s">
        <v>30</v>
      </c>
      <c r="I25" s="21" t="s">
        <v>52</v>
      </c>
      <c r="J25" s="124"/>
    </row>
    <row r="26" spans="1:10">
      <c r="A26" s="26" t="s">
        <v>50</v>
      </c>
      <c r="B26" s="27">
        <v>1057356.8</v>
      </c>
      <c r="C26" s="27">
        <v>999859.12</v>
      </c>
      <c r="D26" s="27">
        <f t="shared" si="1"/>
        <v>57497.680000000051</v>
      </c>
      <c r="E26" s="28">
        <f t="shared" ref="E26:E27" si="4">(B26-C26)/C26</f>
        <v>5.7505781414485722E-2</v>
      </c>
      <c r="F26" s="21" t="s">
        <v>54</v>
      </c>
      <c r="G26" s="105" t="s">
        <v>12</v>
      </c>
      <c r="H26" s="21" t="s">
        <v>30</v>
      </c>
      <c r="I26" s="21" t="s">
        <v>52</v>
      </c>
      <c r="J26" s="124"/>
    </row>
    <row r="27" spans="1:10">
      <c r="A27" s="26" t="s">
        <v>50</v>
      </c>
      <c r="B27" s="27">
        <v>603373.31000000006</v>
      </c>
      <c r="C27" s="27">
        <v>546645.88</v>
      </c>
      <c r="D27" s="27">
        <f t="shared" si="1"/>
        <v>56727.430000000051</v>
      </c>
      <c r="E27" s="28">
        <f t="shared" si="4"/>
        <v>0.10377363495358284</v>
      </c>
      <c r="F27" s="21" t="s">
        <v>53</v>
      </c>
      <c r="G27" s="105" t="s">
        <v>12</v>
      </c>
      <c r="H27" s="21" t="s">
        <v>30</v>
      </c>
      <c r="I27" s="21" t="s">
        <v>52</v>
      </c>
      <c r="J27" s="124"/>
    </row>
    <row r="28" spans="1:10">
      <c r="A28" s="26" t="s">
        <v>50</v>
      </c>
      <c r="B28" s="27">
        <v>1068086.1499999999</v>
      </c>
      <c r="C28" s="27">
        <v>960214.63</v>
      </c>
      <c r="D28" s="27">
        <f>B28-C28</f>
        <v>107871.5199999999</v>
      </c>
      <c r="E28" s="28">
        <f>(B28-C28)/C28</f>
        <v>0.11234105025040068</v>
      </c>
      <c r="F28" s="21" t="s">
        <v>51</v>
      </c>
      <c r="G28" s="105" t="s">
        <v>12</v>
      </c>
      <c r="H28" s="21" t="s">
        <v>30</v>
      </c>
      <c r="I28" s="21" t="s">
        <v>52</v>
      </c>
      <c r="J28" s="124"/>
    </row>
    <row r="29" spans="1:10">
      <c r="A29" s="26" t="s">
        <v>34</v>
      </c>
      <c r="B29" s="27">
        <v>1581380</v>
      </c>
      <c r="C29" s="27">
        <v>1423240</v>
      </c>
      <c r="D29" s="27">
        <f t="shared" si="1"/>
        <v>158140</v>
      </c>
      <c r="E29" s="28">
        <f t="shared" si="0"/>
        <v>0.11111267249374666</v>
      </c>
      <c r="F29" s="21" t="s">
        <v>55</v>
      </c>
      <c r="G29" s="105" t="s">
        <v>12</v>
      </c>
      <c r="H29" s="21"/>
      <c r="I29" s="21"/>
      <c r="J29" s="124"/>
    </row>
    <row r="30" spans="1:10">
      <c r="A30" s="26" t="s">
        <v>34</v>
      </c>
      <c r="B30" s="27">
        <v>1102560</v>
      </c>
      <c r="C30" s="27">
        <v>1047432</v>
      </c>
      <c r="D30" s="27">
        <f t="shared" si="1"/>
        <v>55128</v>
      </c>
      <c r="E30" s="28">
        <f t="shared" si="0"/>
        <v>5.2631578947368418E-2</v>
      </c>
      <c r="F30" s="21" t="s">
        <v>56</v>
      </c>
      <c r="G30" s="105" t="s">
        <v>12</v>
      </c>
      <c r="H30" s="21"/>
      <c r="I30" s="21"/>
      <c r="J30" s="124"/>
    </row>
    <row r="31" spans="1:10">
      <c r="A31" s="26" t="s">
        <v>34</v>
      </c>
      <c r="B31" s="27">
        <v>759870</v>
      </c>
      <c r="C31" s="27">
        <v>721870</v>
      </c>
      <c r="D31" s="27">
        <f t="shared" si="1"/>
        <v>38000</v>
      </c>
      <c r="E31" s="28">
        <f t="shared" si="0"/>
        <v>5.2641057254076216E-2</v>
      </c>
      <c r="F31" s="21" t="s">
        <v>55</v>
      </c>
      <c r="G31" s="105" t="s">
        <v>12</v>
      </c>
      <c r="H31" s="21" t="s">
        <v>20</v>
      </c>
      <c r="I31" s="21"/>
      <c r="J31" s="124"/>
    </row>
    <row r="32" spans="1:10">
      <c r="A32" s="26" t="s">
        <v>47</v>
      </c>
      <c r="B32" s="27">
        <v>2098673.16</v>
      </c>
      <c r="C32" s="27">
        <v>1890709.63</v>
      </c>
      <c r="D32" s="27">
        <f t="shared" si="1"/>
        <v>207963.53000000026</v>
      </c>
      <c r="E32" s="28">
        <f t="shared" si="0"/>
        <v>0.10999231542497633</v>
      </c>
      <c r="F32" s="21" t="s">
        <v>40</v>
      </c>
      <c r="G32" s="105" t="s">
        <v>12</v>
      </c>
      <c r="H32" s="21" t="s">
        <v>38</v>
      </c>
      <c r="I32" s="21" t="s">
        <v>57</v>
      </c>
      <c r="J32" s="124"/>
    </row>
    <row r="33" spans="1:13">
      <c r="A33" s="26" t="s">
        <v>22</v>
      </c>
      <c r="B33" s="27">
        <v>93882500</v>
      </c>
      <c r="C33" s="27">
        <v>83882500</v>
      </c>
      <c r="D33" s="27">
        <f t="shared" si="1"/>
        <v>10000000</v>
      </c>
      <c r="E33" s="28">
        <f t="shared" si="0"/>
        <v>0.11921437725389682</v>
      </c>
      <c r="F33" s="21" t="s">
        <v>58</v>
      </c>
      <c r="G33" s="105" t="s">
        <v>12</v>
      </c>
      <c r="H33" s="21" t="s">
        <v>13</v>
      </c>
      <c r="I33" s="21"/>
      <c r="J33" s="124"/>
    </row>
    <row r="34" spans="1:13">
      <c r="A34" s="26" t="s">
        <v>59</v>
      </c>
      <c r="B34" s="27">
        <v>17108120</v>
      </c>
      <c r="C34" s="27">
        <v>12794840</v>
      </c>
      <c r="D34" s="27">
        <f t="shared" si="1"/>
        <v>4313280</v>
      </c>
      <c r="E34" s="28">
        <f t="shared" si="0"/>
        <v>0.33711089783068798</v>
      </c>
      <c r="F34" s="21" t="s">
        <v>60</v>
      </c>
      <c r="G34" s="105" t="s">
        <v>12</v>
      </c>
      <c r="H34" s="21" t="s">
        <v>13</v>
      </c>
      <c r="I34" s="21"/>
      <c r="J34" s="124"/>
    </row>
    <row r="35" spans="1:13">
      <c r="A35" s="26" t="s">
        <v>61</v>
      </c>
      <c r="B35" s="27">
        <v>4490000</v>
      </c>
      <c r="C35" s="27">
        <v>1790000</v>
      </c>
      <c r="D35" s="27">
        <f t="shared" si="1"/>
        <v>2700000</v>
      </c>
      <c r="E35" s="28">
        <f t="shared" si="0"/>
        <v>1.5083798882681565</v>
      </c>
      <c r="F35" s="21" t="s">
        <v>62</v>
      </c>
      <c r="G35" s="105" t="s">
        <v>12</v>
      </c>
      <c r="H35" s="21" t="s">
        <v>63</v>
      </c>
      <c r="I35" s="21" t="s">
        <v>64</v>
      </c>
      <c r="J35" s="124"/>
    </row>
    <row r="36" spans="1:13">
      <c r="A36" s="26" t="s">
        <v>65</v>
      </c>
      <c r="B36" s="27">
        <v>890000</v>
      </c>
      <c r="C36" s="27">
        <v>468000</v>
      </c>
      <c r="D36" s="27">
        <f t="shared" si="1"/>
        <v>422000</v>
      </c>
      <c r="E36" s="28">
        <f t="shared" si="0"/>
        <v>0.90170940170940173</v>
      </c>
      <c r="F36" s="21" t="s">
        <v>66</v>
      </c>
      <c r="G36" s="105" t="s">
        <v>12</v>
      </c>
      <c r="H36" s="21" t="s">
        <v>30</v>
      </c>
      <c r="I36" s="21" t="s">
        <v>67</v>
      </c>
      <c r="J36" s="124"/>
    </row>
    <row r="37" spans="1:13">
      <c r="A37" s="26" t="s">
        <v>65</v>
      </c>
      <c r="B37" s="27">
        <v>1324000</v>
      </c>
      <c r="C37" s="27">
        <v>544000</v>
      </c>
      <c r="D37" s="27">
        <f t="shared" si="1"/>
        <v>780000</v>
      </c>
      <c r="E37" s="28">
        <f t="shared" si="0"/>
        <v>1.4338235294117647</v>
      </c>
      <c r="F37" s="21" t="s">
        <v>66</v>
      </c>
      <c r="G37" s="105" t="s">
        <v>12</v>
      </c>
      <c r="H37" s="21" t="s">
        <v>30</v>
      </c>
      <c r="I37" s="21" t="s">
        <v>67</v>
      </c>
      <c r="J37" s="124"/>
    </row>
    <row r="38" spans="1:13">
      <c r="A38" s="26" t="s">
        <v>65</v>
      </c>
      <c r="B38" s="27">
        <v>1324000</v>
      </c>
      <c r="C38" s="27">
        <v>544000</v>
      </c>
      <c r="D38" s="27">
        <f t="shared" si="1"/>
        <v>780000</v>
      </c>
      <c r="E38" s="28">
        <f t="shared" si="0"/>
        <v>1.4338235294117647</v>
      </c>
      <c r="F38" s="21" t="s">
        <v>66</v>
      </c>
      <c r="G38" s="105" t="s">
        <v>12</v>
      </c>
      <c r="H38" s="21" t="s">
        <v>30</v>
      </c>
      <c r="I38" s="21" t="s">
        <v>67</v>
      </c>
      <c r="J38" s="124"/>
    </row>
    <row r="39" spans="1:13">
      <c r="A39" s="26" t="s">
        <v>68</v>
      </c>
      <c r="B39" s="27">
        <v>1779840</v>
      </c>
      <c r="C39" s="27">
        <v>1483200</v>
      </c>
      <c r="D39" s="27">
        <f t="shared" si="1"/>
        <v>296640</v>
      </c>
      <c r="E39" s="28">
        <f t="shared" si="0"/>
        <v>0.2</v>
      </c>
      <c r="F39" s="21" t="s">
        <v>66</v>
      </c>
      <c r="G39" s="105" t="s">
        <v>12</v>
      </c>
      <c r="H39" s="21" t="s">
        <v>30</v>
      </c>
      <c r="I39" s="21" t="s">
        <v>67</v>
      </c>
      <c r="J39" s="124"/>
      <c r="M39" s="4"/>
    </row>
    <row r="40" spans="1:13">
      <c r="A40" s="26" t="s">
        <v>68</v>
      </c>
      <c r="B40" s="27">
        <v>1555200</v>
      </c>
      <c r="C40" s="27">
        <v>1296000</v>
      </c>
      <c r="D40" s="27">
        <f t="shared" si="1"/>
        <v>259200</v>
      </c>
      <c r="E40" s="28">
        <f t="shared" si="0"/>
        <v>0.2</v>
      </c>
      <c r="F40" s="21" t="s">
        <v>66</v>
      </c>
      <c r="G40" s="105" t="s">
        <v>12</v>
      </c>
      <c r="H40" s="21" t="s">
        <v>30</v>
      </c>
      <c r="I40" s="21" t="s">
        <v>67</v>
      </c>
      <c r="J40" s="124"/>
    </row>
    <row r="41" spans="1:13">
      <c r="A41" s="26" t="s">
        <v>68</v>
      </c>
      <c r="B41" s="27">
        <v>1800230</v>
      </c>
      <c r="C41" s="27">
        <v>1500192</v>
      </c>
      <c r="D41" s="27">
        <f t="shared" si="1"/>
        <v>300038</v>
      </c>
      <c r="E41" s="28">
        <f t="shared" si="0"/>
        <v>0.1999997333674623</v>
      </c>
      <c r="F41" s="21" t="s">
        <v>66</v>
      </c>
      <c r="G41" s="105" t="s">
        <v>12</v>
      </c>
      <c r="H41" s="21" t="s">
        <v>20</v>
      </c>
      <c r="I41" s="21" t="s">
        <v>21</v>
      </c>
      <c r="J41" s="124"/>
    </row>
    <row r="42" spans="1:13">
      <c r="A42" s="26" t="s">
        <v>69</v>
      </c>
      <c r="B42" s="27">
        <v>32572800</v>
      </c>
      <c r="C42" s="27">
        <v>30944160</v>
      </c>
      <c r="D42" s="27">
        <f t="shared" si="1"/>
        <v>1628640</v>
      </c>
      <c r="E42" s="28">
        <f t="shared" si="0"/>
        <v>5.2631578947368418E-2</v>
      </c>
      <c r="F42" s="21" t="s">
        <v>70</v>
      </c>
      <c r="G42" s="105" t="s">
        <v>12</v>
      </c>
      <c r="H42" s="21" t="s">
        <v>30</v>
      </c>
      <c r="I42" s="21" t="s">
        <v>67</v>
      </c>
      <c r="J42" s="124"/>
    </row>
    <row r="43" spans="1:13">
      <c r="A43" s="26" t="s">
        <v>26</v>
      </c>
      <c r="B43" s="27">
        <v>2217524</v>
      </c>
      <c r="C43" s="27">
        <v>1700000</v>
      </c>
      <c r="D43" s="27">
        <f t="shared" si="1"/>
        <v>517524</v>
      </c>
      <c r="E43" s="28">
        <f t="shared" si="0"/>
        <v>0.30442588235294116</v>
      </c>
      <c r="F43" s="21" t="s">
        <v>71</v>
      </c>
      <c r="G43" s="105" t="s">
        <v>12</v>
      </c>
      <c r="H43" s="21" t="s">
        <v>13</v>
      </c>
      <c r="I43" s="21"/>
      <c r="J43" s="124"/>
    </row>
    <row r="44" spans="1:13">
      <c r="A44" s="138" t="s">
        <v>72</v>
      </c>
      <c r="B44" s="138"/>
      <c r="C44" s="138"/>
      <c r="D44" s="138"/>
      <c r="E44" s="138"/>
      <c r="F44" s="138"/>
      <c r="G44" s="138"/>
      <c r="H44" s="138"/>
      <c r="I44" s="138"/>
      <c r="J44" s="138"/>
    </row>
    <row r="45" spans="1:13">
      <c r="A45" s="29" t="s">
        <v>61</v>
      </c>
      <c r="B45" s="30">
        <v>4490000</v>
      </c>
      <c r="C45" s="30">
        <v>1790000</v>
      </c>
      <c r="D45" s="27">
        <f t="shared" si="1"/>
        <v>2700000</v>
      </c>
      <c r="E45" s="28">
        <f t="shared" si="0"/>
        <v>1.5083798882681565</v>
      </c>
      <c r="F45" s="21" t="s">
        <v>62</v>
      </c>
      <c r="G45" s="105" t="s">
        <v>73</v>
      </c>
      <c r="H45" s="21" t="s">
        <v>30</v>
      </c>
      <c r="I45" s="21" t="s">
        <v>74</v>
      </c>
      <c r="J45" s="124">
        <f>SUM(D45:D129)</f>
        <v>275379557.13</v>
      </c>
    </row>
    <row r="46" spans="1:13">
      <c r="A46" s="26" t="s">
        <v>75</v>
      </c>
      <c r="B46" s="27">
        <v>489600</v>
      </c>
      <c r="C46" s="27">
        <v>465120</v>
      </c>
      <c r="D46" s="27">
        <f t="shared" si="1"/>
        <v>24480</v>
      </c>
      <c r="E46" s="28">
        <f t="shared" si="0"/>
        <v>5.2631578947368418E-2</v>
      </c>
      <c r="F46" s="21" t="s">
        <v>76</v>
      </c>
      <c r="G46" s="105" t="s">
        <v>73</v>
      </c>
      <c r="H46" s="21" t="s">
        <v>38</v>
      </c>
      <c r="I46" s="21" t="s">
        <v>77</v>
      </c>
      <c r="J46" s="124"/>
    </row>
    <row r="47" spans="1:13">
      <c r="A47" s="26" t="s">
        <v>78</v>
      </c>
      <c r="B47" s="27">
        <v>10753660.380000001</v>
      </c>
      <c r="C47" s="27">
        <v>7945451.9400000004</v>
      </c>
      <c r="D47" s="27">
        <f t="shared" si="1"/>
        <v>2808208.4400000004</v>
      </c>
      <c r="E47" s="28">
        <f t="shared" si="0"/>
        <v>0.35343596074913775</v>
      </c>
      <c r="F47" s="21" t="s">
        <v>79</v>
      </c>
      <c r="G47" s="105" t="s">
        <v>73</v>
      </c>
      <c r="H47" s="21" t="s">
        <v>38</v>
      </c>
      <c r="I47" s="21" t="s">
        <v>77</v>
      </c>
      <c r="J47" s="124"/>
    </row>
    <row r="48" spans="1:13">
      <c r="A48" s="26" t="s">
        <v>80</v>
      </c>
      <c r="B48" s="27">
        <v>1369000</v>
      </c>
      <c r="C48" s="27">
        <v>969000</v>
      </c>
      <c r="D48" s="27">
        <f t="shared" si="1"/>
        <v>400000</v>
      </c>
      <c r="E48" s="28">
        <f t="shared" si="0"/>
        <v>0.41279669762641896</v>
      </c>
      <c r="F48" s="21" t="s">
        <v>81</v>
      </c>
      <c r="G48" s="105" t="s">
        <v>73</v>
      </c>
      <c r="H48" s="21"/>
      <c r="I48" s="21"/>
      <c r="J48" s="124"/>
    </row>
    <row r="49" spans="1:10">
      <c r="A49" s="26" t="s">
        <v>82</v>
      </c>
      <c r="B49" s="27">
        <v>1831800</v>
      </c>
      <c r="C49" s="27">
        <v>1612000</v>
      </c>
      <c r="D49" s="27">
        <f t="shared" si="1"/>
        <v>219800</v>
      </c>
      <c r="E49" s="28">
        <f t="shared" si="0"/>
        <v>0.13635235732009926</v>
      </c>
      <c r="F49" s="21" t="s">
        <v>83</v>
      </c>
      <c r="G49" s="105" t="s">
        <v>73</v>
      </c>
      <c r="H49" s="21" t="s">
        <v>63</v>
      </c>
      <c r="I49" s="21" t="s">
        <v>84</v>
      </c>
      <c r="J49" s="124"/>
    </row>
    <row r="50" spans="1:10">
      <c r="A50" s="26" t="s">
        <v>85</v>
      </c>
      <c r="B50" s="27">
        <v>542000</v>
      </c>
      <c r="C50" s="27">
        <v>310000</v>
      </c>
      <c r="D50" s="27">
        <f t="shared" si="1"/>
        <v>232000</v>
      </c>
      <c r="E50" s="28">
        <f t="shared" si="0"/>
        <v>0.74838709677419357</v>
      </c>
      <c r="F50" s="21" t="s">
        <v>86</v>
      </c>
      <c r="G50" s="105" t="s">
        <v>73</v>
      </c>
      <c r="H50" s="21" t="s">
        <v>63</v>
      </c>
      <c r="I50" s="21" t="s">
        <v>63</v>
      </c>
      <c r="J50" s="124"/>
    </row>
    <row r="51" spans="1:10">
      <c r="A51" s="26" t="s">
        <v>87</v>
      </c>
      <c r="B51" s="27">
        <v>1460000</v>
      </c>
      <c r="C51" s="27">
        <v>1200000</v>
      </c>
      <c r="D51" s="27">
        <f t="shared" si="1"/>
        <v>260000</v>
      </c>
      <c r="E51" s="28">
        <f t="shared" si="0"/>
        <v>0.21666666666666667</v>
      </c>
      <c r="F51" s="21" t="s">
        <v>88</v>
      </c>
      <c r="G51" s="105" t="s">
        <v>73</v>
      </c>
      <c r="H51" s="21" t="s">
        <v>89</v>
      </c>
      <c r="I51" s="21" t="s">
        <v>90</v>
      </c>
      <c r="J51" s="124"/>
    </row>
    <row r="52" spans="1:10">
      <c r="A52" s="26" t="s">
        <v>91</v>
      </c>
      <c r="B52" s="27">
        <v>1450000</v>
      </c>
      <c r="C52" s="27">
        <v>1188500</v>
      </c>
      <c r="D52" s="27">
        <f t="shared" si="1"/>
        <v>261500</v>
      </c>
      <c r="E52" s="28">
        <f t="shared" si="0"/>
        <v>0.22002524190155659</v>
      </c>
      <c r="F52" s="21" t="s">
        <v>92</v>
      </c>
      <c r="G52" s="105" t="s">
        <v>73</v>
      </c>
      <c r="H52" s="21" t="s">
        <v>30</v>
      </c>
      <c r="I52" s="21" t="s">
        <v>93</v>
      </c>
      <c r="J52" s="124"/>
    </row>
    <row r="53" spans="1:10">
      <c r="A53" s="26" t="s">
        <v>22</v>
      </c>
      <c r="B53" s="27">
        <v>34754650</v>
      </c>
      <c r="C53" s="27">
        <v>31279185</v>
      </c>
      <c r="D53" s="27">
        <f t="shared" si="1"/>
        <v>3475465</v>
      </c>
      <c r="E53" s="28">
        <f t="shared" si="0"/>
        <v>0.1111111111111111</v>
      </c>
      <c r="F53" s="21" t="s">
        <v>94</v>
      </c>
      <c r="G53" s="105" t="s">
        <v>73</v>
      </c>
      <c r="H53" s="21" t="s">
        <v>13</v>
      </c>
      <c r="I53" s="21"/>
      <c r="J53" s="124"/>
    </row>
    <row r="54" spans="1:10">
      <c r="A54" s="26" t="s">
        <v>95</v>
      </c>
      <c r="B54" s="27">
        <v>10999700</v>
      </c>
      <c r="C54" s="27">
        <v>5530600</v>
      </c>
      <c r="D54" s="27">
        <f t="shared" si="1"/>
        <v>5469100</v>
      </c>
      <c r="E54" s="28">
        <f t="shared" si="0"/>
        <v>0.98888004918092065</v>
      </c>
      <c r="F54" s="21" t="s">
        <v>96</v>
      </c>
      <c r="G54" s="105" t="s">
        <v>73</v>
      </c>
      <c r="H54" s="21" t="s">
        <v>13</v>
      </c>
      <c r="I54" s="21"/>
      <c r="J54" s="124"/>
    </row>
    <row r="55" spans="1:10">
      <c r="A55" s="26" t="s">
        <v>97</v>
      </c>
      <c r="B55" s="27">
        <v>3255784</v>
      </c>
      <c r="C55" s="27">
        <v>2548260</v>
      </c>
      <c r="D55" s="27">
        <f t="shared" si="1"/>
        <v>707524</v>
      </c>
      <c r="E55" s="28">
        <f t="shared" si="0"/>
        <v>0.27764984734681702</v>
      </c>
      <c r="F55" s="21" t="s">
        <v>98</v>
      </c>
      <c r="G55" s="105" t="s">
        <v>73</v>
      </c>
      <c r="H55" s="21" t="s">
        <v>89</v>
      </c>
      <c r="I55" s="21" t="s">
        <v>31</v>
      </c>
      <c r="J55" s="124"/>
    </row>
    <row r="56" spans="1:10">
      <c r="A56" s="26" t="s">
        <v>99</v>
      </c>
      <c r="B56" s="27">
        <v>4743500</v>
      </c>
      <c r="C56" s="27">
        <v>3741500</v>
      </c>
      <c r="D56" s="27">
        <f t="shared" si="1"/>
        <v>1002000</v>
      </c>
      <c r="E56" s="28">
        <f t="shared" si="0"/>
        <v>0.26780702926633704</v>
      </c>
      <c r="F56" s="21" t="s">
        <v>100</v>
      </c>
      <c r="G56" s="105" t="s">
        <v>73</v>
      </c>
      <c r="H56" s="21" t="s">
        <v>13</v>
      </c>
      <c r="I56" s="21" t="s">
        <v>101</v>
      </c>
      <c r="J56" s="124"/>
    </row>
    <row r="57" spans="1:10">
      <c r="A57" s="26" t="s">
        <v>102</v>
      </c>
      <c r="B57" s="27">
        <v>909840</v>
      </c>
      <c r="C57" s="27">
        <v>880200</v>
      </c>
      <c r="D57" s="27">
        <f t="shared" si="1"/>
        <v>29640</v>
      </c>
      <c r="E57" s="28">
        <f t="shared" si="0"/>
        <v>3.3674164962508524E-2</v>
      </c>
      <c r="F57" s="21" t="s">
        <v>103</v>
      </c>
      <c r="G57" s="105" t="s">
        <v>73</v>
      </c>
      <c r="H57" s="21" t="s">
        <v>104</v>
      </c>
      <c r="I57" s="21"/>
      <c r="J57" s="124"/>
    </row>
    <row r="58" spans="1:10">
      <c r="A58" s="26" t="s">
        <v>105</v>
      </c>
      <c r="B58" s="27">
        <v>850000</v>
      </c>
      <c r="C58" s="27">
        <v>764000</v>
      </c>
      <c r="D58" s="27">
        <f t="shared" si="1"/>
        <v>86000</v>
      </c>
      <c r="E58" s="28">
        <f t="shared" si="0"/>
        <v>0.112565445026178</v>
      </c>
      <c r="F58" s="21" t="s">
        <v>106</v>
      </c>
      <c r="G58" s="105" t="s">
        <v>73</v>
      </c>
      <c r="H58" s="21" t="s">
        <v>104</v>
      </c>
      <c r="I58" s="21" t="s">
        <v>107</v>
      </c>
      <c r="J58" s="124"/>
    </row>
    <row r="59" spans="1:10">
      <c r="A59" s="26" t="s">
        <v>108</v>
      </c>
      <c r="B59" s="27">
        <v>395000</v>
      </c>
      <c r="C59" s="27">
        <v>355500</v>
      </c>
      <c r="D59" s="27">
        <f t="shared" si="1"/>
        <v>39500</v>
      </c>
      <c r="E59" s="28">
        <f t="shared" si="0"/>
        <v>0.1111111111111111</v>
      </c>
      <c r="F59" s="21" t="s">
        <v>109</v>
      </c>
      <c r="G59" s="105" t="s">
        <v>73</v>
      </c>
      <c r="H59" s="21" t="s">
        <v>110</v>
      </c>
      <c r="I59" s="21" t="s">
        <v>107</v>
      </c>
      <c r="J59" s="124"/>
    </row>
    <row r="60" spans="1:10">
      <c r="A60" s="26" t="s">
        <v>75</v>
      </c>
      <c r="B60" s="27">
        <v>310680</v>
      </c>
      <c r="C60" s="27">
        <v>295150</v>
      </c>
      <c r="D60" s="27">
        <f t="shared" si="1"/>
        <v>15530</v>
      </c>
      <c r="E60" s="28">
        <f t="shared" si="0"/>
        <v>5.2617313230560729E-2</v>
      </c>
      <c r="F60" s="21" t="s">
        <v>111</v>
      </c>
      <c r="G60" s="105" t="s">
        <v>73</v>
      </c>
      <c r="H60" s="21"/>
      <c r="I60" s="21"/>
      <c r="J60" s="124"/>
    </row>
    <row r="61" spans="1:10">
      <c r="A61" s="26" t="s">
        <v>112</v>
      </c>
      <c r="B61" s="27">
        <v>1603500</v>
      </c>
      <c r="C61" s="27">
        <v>1467500</v>
      </c>
      <c r="D61" s="27">
        <f t="shared" si="1"/>
        <v>136000</v>
      </c>
      <c r="E61" s="28">
        <f t="shared" si="0"/>
        <v>9.2674616695059622E-2</v>
      </c>
      <c r="F61" s="21" t="s">
        <v>113</v>
      </c>
      <c r="G61" s="105" t="s">
        <v>73</v>
      </c>
      <c r="H61" s="21"/>
      <c r="I61" s="21"/>
      <c r="J61" s="124"/>
    </row>
    <row r="62" spans="1:10">
      <c r="A62" s="26" t="s">
        <v>95</v>
      </c>
      <c r="B62" s="27">
        <v>19656900</v>
      </c>
      <c r="C62" s="27">
        <v>18996850</v>
      </c>
      <c r="D62" s="27">
        <f t="shared" si="1"/>
        <v>660050</v>
      </c>
      <c r="E62" s="28">
        <f t="shared" si="0"/>
        <v>3.4745234078281402E-2</v>
      </c>
      <c r="F62" s="21" t="s">
        <v>114</v>
      </c>
      <c r="G62" s="105" t="s">
        <v>73</v>
      </c>
      <c r="H62" s="21"/>
      <c r="I62" s="21"/>
      <c r="J62" s="124"/>
    </row>
    <row r="63" spans="1:10">
      <c r="A63" s="26" t="s">
        <v>115</v>
      </c>
      <c r="B63" s="27">
        <v>15500000</v>
      </c>
      <c r="C63" s="27">
        <v>13175000</v>
      </c>
      <c r="D63" s="27">
        <f t="shared" si="1"/>
        <v>2325000</v>
      </c>
      <c r="E63" s="28">
        <f t="shared" si="0"/>
        <v>0.17647058823529413</v>
      </c>
      <c r="F63" s="21" t="s">
        <v>116</v>
      </c>
      <c r="G63" s="105" t="s">
        <v>73</v>
      </c>
      <c r="H63" s="21" t="s">
        <v>38</v>
      </c>
      <c r="I63" s="21" t="s">
        <v>117</v>
      </c>
      <c r="J63" s="124"/>
    </row>
    <row r="64" spans="1:10">
      <c r="A64" s="26" t="s">
        <v>118</v>
      </c>
      <c r="B64" s="27">
        <v>315498967.93000001</v>
      </c>
      <c r="C64" s="27">
        <v>239101841.47</v>
      </c>
      <c r="D64" s="27">
        <f t="shared" si="1"/>
        <v>76397126.460000008</v>
      </c>
      <c r="E64" s="28">
        <f t="shared" si="0"/>
        <v>0.31951709777854437</v>
      </c>
      <c r="F64" s="21" t="s">
        <v>119</v>
      </c>
      <c r="G64" s="105" t="s">
        <v>73</v>
      </c>
      <c r="H64" s="21" t="s">
        <v>38</v>
      </c>
      <c r="I64" s="21"/>
      <c r="J64" s="124"/>
    </row>
    <row r="65" spans="1:10">
      <c r="A65" s="26" t="s">
        <v>120</v>
      </c>
      <c r="B65" s="27">
        <v>2280000</v>
      </c>
      <c r="C65" s="27">
        <v>2244000</v>
      </c>
      <c r="D65" s="27">
        <f t="shared" si="1"/>
        <v>36000</v>
      </c>
      <c r="E65" s="28">
        <f t="shared" ref="E65:E127" si="5">(B65-C65)/C65</f>
        <v>1.6042780748663103E-2</v>
      </c>
      <c r="F65" s="21" t="s">
        <v>121</v>
      </c>
      <c r="G65" s="105" t="s">
        <v>73</v>
      </c>
      <c r="H65" s="21" t="s">
        <v>38</v>
      </c>
      <c r="I65" s="21"/>
      <c r="J65" s="124"/>
    </row>
    <row r="66" spans="1:10">
      <c r="A66" s="26" t="s">
        <v>120</v>
      </c>
      <c r="B66" s="27">
        <v>1130000</v>
      </c>
      <c r="C66" s="27">
        <v>1085000</v>
      </c>
      <c r="D66" s="27">
        <f t="shared" si="1"/>
        <v>45000</v>
      </c>
      <c r="E66" s="28">
        <f t="shared" si="5"/>
        <v>4.1474654377880185E-2</v>
      </c>
      <c r="F66" s="21" t="s">
        <v>122</v>
      </c>
      <c r="G66" s="105" t="s">
        <v>73</v>
      </c>
      <c r="H66" s="21" t="s">
        <v>38</v>
      </c>
      <c r="I66" s="21"/>
      <c r="J66" s="124"/>
    </row>
    <row r="67" spans="1:10">
      <c r="A67" s="26" t="s">
        <v>22</v>
      </c>
      <c r="B67" s="27">
        <v>3664050</v>
      </c>
      <c r="C67" s="27">
        <v>3480848</v>
      </c>
      <c r="D67" s="27">
        <f t="shared" ref="D67:D129" si="6">B67-C67</f>
        <v>183202</v>
      </c>
      <c r="E67" s="28">
        <f t="shared" si="5"/>
        <v>5.2631427744043981E-2</v>
      </c>
      <c r="F67" s="21" t="s">
        <v>123</v>
      </c>
      <c r="G67" s="105" t="s">
        <v>73</v>
      </c>
      <c r="H67" s="21" t="s">
        <v>124</v>
      </c>
      <c r="I67" s="21"/>
      <c r="J67" s="124"/>
    </row>
    <row r="68" spans="1:10">
      <c r="A68" s="26" t="s">
        <v>125</v>
      </c>
      <c r="B68" s="27">
        <v>1944240</v>
      </c>
      <c r="C68" s="27">
        <v>1396072</v>
      </c>
      <c r="D68" s="27">
        <f t="shared" si="6"/>
        <v>548168</v>
      </c>
      <c r="E68" s="28">
        <f t="shared" si="5"/>
        <v>0.39265023580445707</v>
      </c>
      <c r="F68" s="21" t="s">
        <v>126</v>
      </c>
      <c r="G68" s="105" t="s">
        <v>73</v>
      </c>
      <c r="H68" s="21" t="s">
        <v>89</v>
      </c>
      <c r="I68" s="21" t="s">
        <v>127</v>
      </c>
      <c r="J68" s="124"/>
    </row>
    <row r="69" spans="1:10">
      <c r="A69" s="26" t="s">
        <v>128</v>
      </c>
      <c r="B69" s="27">
        <v>246900</v>
      </c>
      <c r="C69" s="27">
        <v>209500</v>
      </c>
      <c r="D69" s="27">
        <f t="shared" si="6"/>
        <v>37400</v>
      </c>
      <c r="E69" s="28">
        <f t="shared" si="5"/>
        <v>0.17852028639618139</v>
      </c>
      <c r="F69" s="21" t="s">
        <v>129</v>
      </c>
      <c r="G69" s="105" t="s">
        <v>73</v>
      </c>
      <c r="H69" s="21" t="s">
        <v>124</v>
      </c>
      <c r="I69" s="21"/>
      <c r="J69" s="124"/>
    </row>
    <row r="70" spans="1:10">
      <c r="A70" s="26" t="s">
        <v>75</v>
      </c>
      <c r="B70" s="27">
        <v>2632990</v>
      </c>
      <c r="C70" s="27">
        <v>2203690</v>
      </c>
      <c r="D70" s="27">
        <f t="shared" si="6"/>
        <v>429300</v>
      </c>
      <c r="E70" s="28">
        <f t="shared" si="5"/>
        <v>0.19480961478247849</v>
      </c>
      <c r="F70" s="21" t="s">
        <v>111</v>
      </c>
      <c r="G70" s="105" t="s">
        <v>73</v>
      </c>
      <c r="H70" s="21"/>
      <c r="I70" s="21"/>
      <c r="J70" s="124"/>
    </row>
    <row r="71" spans="1:10">
      <c r="A71" s="26" t="s">
        <v>130</v>
      </c>
      <c r="B71" s="27">
        <v>15333038</v>
      </c>
      <c r="C71" s="27">
        <v>13999900</v>
      </c>
      <c r="D71" s="27">
        <f t="shared" si="6"/>
        <v>1333138</v>
      </c>
      <c r="E71" s="28">
        <f t="shared" si="5"/>
        <v>9.5224823034450248E-2</v>
      </c>
      <c r="F71" s="21" t="s">
        <v>131</v>
      </c>
      <c r="G71" s="105" t="s">
        <v>73</v>
      </c>
      <c r="H71" s="21" t="s">
        <v>38</v>
      </c>
      <c r="I71" s="21"/>
      <c r="J71" s="124"/>
    </row>
    <row r="72" spans="1:10">
      <c r="A72" s="26" t="s">
        <v>130</v>
      </c>
      <c r="B72" s="27">
        <v>16587060</v>
      </c>
      <c r="C72" s="27">
        <v>15797200</v>
      </c>
      <c r="D72" s="27">
        <f t="shared" si="6"/>
        <v>789860</v>
      </c>
      <c r="E72" s="28">
        <f t="shared" si="5"/>
        <v>0.05</v>
      </c>
      <c r="F72" s="21" t="s">
        <v>132</v>
      </c>
      <c r="G72" s="105" t="s">
        <v>73</v>
      </c>
      <c r="H72" s="21" t="s">
        <v>38</v>
      </c>
      <c r="I72" s="21"/>
      <c r="J72" s="124"/>
    </row>
    <row r="73" spans="1:10">
      <c r="A73" s="26" t="s">
        <v>130</v>
      </c>
      <c r="B73" s="27">
        <v>16073050</v>
      </c>
      <c r="C73" s="27">
        <v>15604890</v>
      </c>
      <c r="D73" s="27">
        <f t="shared" si="6"/>
        <v>468160</v>
      </c>
      <c r="E73" s="28">
        <f t="shared" si="5"/>
        <v>3.0000852296940255E-2</v>
      </c>
      <c r="F73" s="21" t="s">
        <v>133</v>
      </c>
      <c r="G73" s="105" t="s">
        <v>73</v>
      </c>
      <c r="H73" s="21" t="s">
        <v>38</v>
      </c>
      <c r="I73" s="21"/>
      <c r="J73" s="124"/>
    </row>
    <row r="74" spans="1:10">
      <c r="A74" s="26" t="s">
        <v>130</v>
      </c>
      <c r="B74" s="27">
        <v>15066608</v>
      </c>
      <c r="C74" s="27">
        <v>13860100</v>
      </c>
      <c r="D74" s="27">
        <f t="shared" si="6"/>
        <v>1206508</v>
      </c>
      <c r="E74" s="28">
        <f t="shared" si="5"/>
        <v>8.7049011190395445E-2</v>
      </c>
      <c r="F74" s="21" t="s">
        <v>134</v>
      </c>
      <c r="G74" s="105" t="s">
        <v>73</v>
      </c>
      <c r="H74" s="21" t="s">
        <v>38</v>
      </c>
      <c r="I74" s="21"/>
      <c r="J74" s="124"/>
    </row>
    <row r="75" spans="1:10">
      <c r="A75" s="26" t="s">
        <v>135</v>
      </c>
      <c r="B75" s="27">
        <v>1435300</v>
      </c>
      <c r="C75" s="27">
        <v>1146080</v>
      </c>
      <c r="D75" s="27">
        <f>B75-C75</f>
        <v>289220</v>
      </c>
      <c r="E75" s="28">
        <f>(B75-C75)/C75</f>
        <v>0.25235585648471309</v>
      </c>
      <c r="F75" s="21" t="s">
        <v>136</v>
      </c>
      <c r="G75" s="105" t="s">
        <v>73</v>
      </c>
      <c r="H75" s="21" t="s">
        <v>38</v>
      </c>
      <c r="I75" s="21"/>
      <c r="J75" s="124"/>
    </row>
    <row r="76" spans="1:10">
      <c r="A76" s="26" t="s">
        <v>137</v>
      </c>
      <c r="B76" s="27">
        <v>3800000</v>
      </c>
      <c r="C76" s="27">
        <v>890000</v>
      </c>
      <c r="D76" s="27">
        <f t="shared" ref="D76" si="7">B76-C76</f>
        <v>2910000</v>
      </c>
      <c r="E76" s="28">
        <f t="shared" ref="E76" si="8">(B76-C76)/C76</f>
        <v>3.2696629213483148</v>
      </c>
      <c r="F76" s="21" t="s">
        <v>138</v>
      </c>
      <c r="G76" s="105" t="s">
        <v>73</v>
      </c>
      <c r="H76" s="21" t="s">
        <v>42</v>
      </c>
      <c r="I76" s="21"/>
      <c r="J76" s="124"/>
    </row>
    <row r="77" spans="1:10">
      <c r="A77" s="26" t="s">
        <v>61</v>
      </c>
      <c r="B77" s="30">
        <v>4490000</v>
      </c>
      <c r="C77" s="27">
        <v>1790000</v>
      </c>
      <c r="D77" s="27">
        <f t="shared" si="6"/>
        <v>2700000</v>
      </c>
      <c r="E77" s="28">
        <f t="shared" si="5"/>
        <v>1.5083798882681565</v>
      </c>
      <c r="F77" s="21" t="s">
        <v>62</v>
      </c>
      <c r="G77" s="105" t="s">
        <v>73</v>
      </c>
      <c r="H77" s="21" t="s">
        <v>89</v>
      </c>
      <c r="I77" s="21" t="s">
        <v>74</v>
      </c>
      <c r="J77" s="124"/>
    </row>
    <row r="78" spans="1:10">
      <c r="A78" s="26" t="s">
        <v>61</v>
      </c>
      <c r="B78" s="30">
        <v>4490000</v>
      </c>
      <c r="C78" s="27">
        <v>1790000</v>
      </c>
      <c r="D78" s="27">
        <f t="shared" ref="D78:D79" si="9">B78-C78</f>
        <v>2700000</v>
      </c>
      <c r="E78" s="28">
        <f t="shared" ref="E78:E79" si="10">(B78-C78)/C78</f>
        <v>1.5083798882681565</v>
      </c>
      <c r="F78" s="21" t="s">
        <v>62</v>
      </c>
      <c r="G78" s="105" t="s">
        <v>73</v>
      </c>
      <c r="H78" s="21" t="s">
        <v>89</v>
      </c>
      <c r="I78" s="21" t="s">
        <v>74</v>
      </c>
      <c r="J78" s="124"/>
    </row>
    <row r="79" spans="1:10">
      <c r="A79" s="26" t="s">
        <v>61</v>
      </c>
      <c r="B79" s="30">
        <v>4490000</v>
      </c>
      <c r="C79" s="27">
        <v>1790000</v>
      </c>
      <c r="D79" s="27">
        <f t="shared" si="9"/>
        <v>2700000</v>
      </c>
      <c r="E79" s="28">
        <f t="shared" si="10"/>
        <v>1.5083798882681565</v>
      </c>
      <c r="F79" s="21" t="s">
        <v>62</v>
      </c>
      <c r="G79" s="105" t="s">
        <v>73</v>
      </c>
      <c r="H79" s="21" t="s">
        <v>89</v>
      </c>
      <c r="I79" s="21" t="s">
        <v>74</v>
      </c>
      <c r="J79" s="124"/>
    </row>
    <row r="80" spans="1:10">
      <c r="A80" s="26" t="s">
        <v>95</v>
      </c>
      <c r="B80" s="27">
        <v>120996.7</v>
      </c>
      <c r="C80" s="27">
        <v>55306</v>
      </c>
      <c r="D80" s="27">
        <f>B80-C80</f>
        <v>65690.7</v>
      </c>
      <c r="E80" s="28">
        <f>(B80-C80)/C80</f>
        <v>1.1877680540990128</v>
      </c>
      <c r="F80" s="21" t="s">
        <v>139</v>
      </c>
      <c r="G80" s="105" t="s">
        <v>73</v>
      </c>
      <c r="H80" s="21" t="s">
        <v>89</v>
      </c>
      <c r="I80" s="21"/>
      <c r="J80" s="124"/>
    </row>
    <row r="81" spans="1:10">
      <c r="A81" s="26" t="s">
        <v>140</v>
      </c>
      <c r="B81" s="27">
        <v>8400000</v>
      </c>
      <c r="C81" s="27">
        <v>7560000</v>
      </c>
      <c r="D81" s="27">
        <f>B81-C81</f>
        <v>840000</v>
      </c>
      <c r="E81" s="28">
        <f t="shared" si="5"/>
        <v>0.1111111111111111</v>
      </c>
      <c r="F81" s="21" t="s">
        <v>141</v>
      </c>
      <c r="G81" s="105" t="s">
        <v>73</v>
      </c>
      <c r="H81" s="21" t="s">
        <v>38</v>
      </c>
      <c r="I81" s="21"/>
      <c r="J81" s="124"/>
    </row>
    <row r="82" spans="1:10">
      <c r="A82" s="26" t="s">
        <v>142</v>
      </c>
      <c r="B82" s="27">
        <v>870000</v>
      </c>
      <c r="C82" s="27">
        <v>780000</v>
      </c>
      <c r="D82" s="27">
        <f t="shared" si="6"/>
        <v>90000</v>
      </c>
      <c r="E82" s="28">
        <f t="shared" si="5"/>
        <v>0.11538461538461539</v>
      </c>
      <c r="F82" s="21" t="s">
        <v>143</v>
      </c>
      <c r="G82" s="105" t="s">
        <v>73</v>
      </c>
      <c r="H82" s="21" t="s">
        <v>38</v>
      </c>
      <c r="I82" s="21"/>
      <c r="J82" s="124"/>
    </row>
    <row r="83" spans="1:10">
      <c r="A83" s="26" t="s">
        <v>144</v>
      </c>
      <c r="B83" s="27">
        <v>73111000</v>
      </c>
      <c r="C83" s="27">
        <v>58779000</v>
      </c>
      <c r="D83" s="27">
        <f t="shared" si="6"/>
        <v>14332000</v>
      </c>
      <c r="E83" s="28">
        <f t="shared" si="5"/>
        <v>0.24382857823372292</v>
      </c>
      <c r="F83" s="21" t="s">
        <v>145</v>
      </c>
      <c r="G83" s="105" t="s">
        <v>73</v>
      </c>
      <c r="H83" s="21" t="s">
        <v>38</v>
      </c>
      <c r="I83" s="21"/>
      <c r="J83" s="124"/>
    </row>
    <row r="84" spans="1:10">
      <c r="A84" s="26" t="s">
        <v>22</v>
      </c>
      <c r="B84" s="27">
        <v>1199950</v>
      </c>
      <c r="C84" s="27">
        <v>1079970</v>
      </c>
      <c r="D84" s="27">
        <f t="shared" si="6"/>
        <v>119980</v>
      </c>
      <c r="E84" s="28">
        <f t="shared" si="5"/>
        <v>0.11109567858366436</v>
      </c>
      <c r="F84" s="21" t="s">
        <v>146</v>
      </c>
      <c r="G84" s="105" t="s">
        <v>73</v>
      </c>
      <c r="H84" s="21" t="s">
        <v>89</v>
      </c>
      <c r="I84" s="21" t="s">
        <v>147</v>
      </c>
      <c r="J84" s="124"/>
    </row>
    <row r="85" spans="1:10">
      <c r="A85" s="26" t="s">
        <v>148</v>
      </c>
      <c r="B85" s="27">
        <v>6026702</v>
      </c>
      <c r="C85" s="27">
        <v>5478821</v>
      </c>
      <c r="D85" s="27">
        <f t="shared" si="6"/>
        <v>547881</v>
      </c>
      <c r="E85" s="28">
        <f t="shared" si="5"/>
        <v>9.9999799226877462E-2</v>
      </c>
      <c r="F85" s="21" t="s">
        <v>149</v>
      </c>
      <c r="G85" s="105" t="s">
        <v>73</v>
      </c>
      <c r="H85" s="21" t="s">
        <v>124</v>
      </c>
      <c r="I85" s="21" t="s">
        <v>150</v>
      </c>
      <c r="J85" s="124"/>
    </row>
    <row r="86" spans="1:10">
      <c r="A86" s="26" t="s">
        <v>151</v>
      </c>
      <c r="B86" s="27">
        <v>1292300</v>
      </c>
      <c r="C86" s="27">
        <v>567400</v>
      </c>
      <c r="D86" s="27">
        <f t="shared" si="6"/>
        <v>724900</v>
      </c>
      <c r="E86" s="28">
        <f t="shared" si="5"/>
        <v>1.2775819527670074</v>
      </c>
      <c r="F86" s="21" t="s">
        <v>152</v>
      </c>
      <c r="G86" s="105" t="s">
        <v>73</v>
      </c>
      <c r="H86" s="21" t="s">
        <v>89</v>
      </c>
      <c r="I86" s="21"/>
      <c r="J86" s="124"/>
    </row>
    <row r="87" spans="1:10">
      <c r="A87" s="26" t="s">
        <v>153</v>
      </c>
      <c r="B87" s="27">
        <v>9918893.25</v>
      </c>
      <c r="C87" s="27">
        <v>7988301.2999999998</v>
      </c>
      <c r="D87" s="27">
        <f t="shared" si="6"/>
        <v>1930591.9500000002</v>
      </c>
      <c r="E87" s="28">
        <f t="shared" si="5"/>
        <v>0.2416774076861623</v>
      </c>
      <c r="F87" s="21" t="s">
        <v>154</v>
      </c>
      <c r="G87" s="105" t="s">
        <v>73</v>
      </c>
      <c r="H87" s="21" t="s">
        <v>104</v>
      </c>
      <c r="I87" s="21" t="s">
        <v>155</v>
      </c>
      <c r="J87" s="124"/>
    </row>
    <row r="88" spans="1:10">
      <c r="A88" s="26" t="s">
        <v>148</v>
      </c>
      <c r="B88" s="27">
        <v>244800</v>
      </c>
      <c r="C88" s="27">
        <v>230400</v>
      </c>
      <c r="D88" s="27">
        <f t="shared" si="6"/>
        <v>14400</v>
      </c>
      <c r="E88" s="28">
        <f t="shared" si="5"/>
        <v>6.25E-2</v>
      </c>
      <c r="F88" s="21" t="s">
        <v>156</v>
      </c>
      <c r="G88" s="105" t="s">
        <v>73</v>
      </c>
      <c r="H88" s="21" t="s">
        <v>104</v>
      </c>
      <c r="I88" s="21" t="s">
        <v>155</v>
      </c>
      <c r="J88" s="124"/>
    </row>
    <row r="89" spans="1:10">
      <c r="A89" s="26" t="s">
        <v>148</v>
      </c>
      <c r="B89" s="27">
        <v>674448</v>
      </c>
      <c r="C89" s="27">
        <v>632295</v>
      </c>
      <c r="D89" s="27">
        <f t="shared" si="6"/>
        <v>42153</v>
      </c>
      <c r="E89" s="28">
        <f t="shared" si="5"/>
        <v>6.6666666666666666E-2</v>
      </c>
      <c r="F89" s="21" t="s">
        <v>157</v>
      </c>
      <c r="G89" s="105" t="s">
        <v>73</v>
      </c>
      <c r="H89" s="21" t="s">
        <v>104</v>
      </c>
      <c r="I89" s="21" t="s">
        <v>155</v>
      </c>
      <c r="J89" s="124"/>
    </row>
    <row r="90" spans="1:10">
      <c r="A90" s="26" t="s">
        <v>148</v>
      </c>
      <c r="B90" s="27">
        <v>333028</v>
      </c>
      <c r="C90" s="27">
        <v>314525</v>
      </c>
      <c r="D90" s="27">
        <f t="shared" si="6"/>
        <v>18503</v>
      </c>
      <c r="E90" s="28">
        <f t="shared" si="5"/>
        <v>5.8828392019712267E-2</v>
      </c>
      <c r="F90" s="21" t="s">
        <v>158</v>
      </c>
      <c r="G90" s="105" t="s">
        <v>73</v>
      </c>
      <c r="H90" s="21" t="s">
        <v>104</v>
      </c>
      <c r="I90" s="21" t="s">
        <v>155</v>
      </c>
      <c r="J90" s="124"/>
    </row>
    <row r="91" spans="1:10" ht="45" customHeight="1">
      <c r="A91" s="26" t="s">
        <v>148</v>
      </c>
      <c r="B91" s="27">
        <v>787272</v>
      </c>
      <c r="C91" s="27">
        <v>740695</v>
      </c>
      <c r="D91" s="27">
        <f t="shared" si="6"/>
        <v>46577</v>
      </c>
      <c r="E91" s="28">
        <f t="shared" si="5"/>
        <v>6.2882833014938674E-2</v>
      </c>
      <c r="F91" s="31" t="s">
        <v>159</v>
      </c>
      <c r="G91" s="105" t="s">
        <v>73</v>
      </c>
      <c r="H91" s="21" t="s">
        <v>104</v>
      </c>
      <c r="I91" s="21" t="s">
        <v>155</v>
      </c>
      <c r="J91" s="124"/>
    </row>
    <row r="92" spans="1:10">
      <c r="A92" s="26" t="s">
        <v>160</v>
      </c>
      <c r="B92" s="27">
        <v>93186</v>
      </c>
      <c r="C92" s="27">
        <v>83867</v>
      </c>
      <c r="D92" s="27">
        <f t="shared" si="6"/>
        <v>9319</v>
      </c>
      <c r="E92" s="28">
        <f t="shared" si="5"/>
        <v>0.11111641050711245</v>
      </c>
      <c r="F92" s="21" t="s">
        <v>161</v>
      </c>
      <c r="G92" s="105" t="s">
        <v>73</v>
      </c>
      <c r="H92" s="21" t="s">
        <v>104</v>
      </c>
      <c r="I92" s="21" t="s">
        <v>155</v>
      </c>
      <c r="J92" s="124"/>
    </row>
    <row r="93" spans="1:10">
      <c r="A93" s="26" t="s">
        <v>162</v>
      </c>
      <c r="B93" s="27">
        <v>3446353.03</v>
      </c>
      <c r="C93" s="27">
        <v>3124866.4</v>
      </c>
      <c r="D93" s="27">
        <f t="shared" si="6"/>
        <v>321486.62999999989</v>
      </c>
      <c r="E93" s="28">
        <f t="shared" si="5"/>
        <v>0.10288011993088725</v>
      </c>
      <c r="F93" s="21" t="s">
        <v>163</v>
      </c>
      <c r="G93" s="105" t="s">
        <v>73</v>
      </c>
      <c r="H93" s="21" t="s">
        <v>164</v>
      </c>
      <c r="I93" s="21" t="s">
        <v>165</v>
      </c>
      <c r="J93" s="124"/>
    </row>
    <row r="94" spans="1:10" ht="30" customHeight="1">
      <c r="A94" s="26" t="s">
        <v>162</v>
      </c>
      <c r="B94" s="27">
        <v>982248.71</v>
      </c>
      <c r="C94" s="27">
        <v>892953.38</v>
      </c>
      <c r="D94" s="27">
        <f t="shared" si="6"/>
        <v>89295.329999999958</v>
      </c>
      <c r="E94" s="28">
        <f t="shared" si="5"/>
        <v>9.9999991040965602E-2</v>
      </c>
      <c r="F94" s="31" t="s">
        <v>166</v>
      </c>
      <c r="G94" s="105" t="s">
        <v>73</v>
      </c>
      <c r="H94" s="21" t="s">
        <v>164</v>
      </c>
      <c r="I94" s="21" t="s">
        <v>167</v>
      </c>
      <c r="J94" s="124"/>
    </row>
    <row r="95" spans="1:10">
      <c r="A95" s="26" t="s">
        <v>162</v>
      </c>
      <c r="B95" s="27">
        <v>1048977.78</v>
      </c>
      <c r="C95" s="27">
        <v>944080.01</v>
      </c>
      <c r="D95" s="27">
        <f t="shared" si="6"/>
        <v>104897.77000000002</v>
      </c>
      <c r="E95" s="28">
        <f t="shared" si="5"/>
        <v>0.11111110169571328</v>
      </c>
      <c r="F95" s="21" t="s">
        <v>168</v>
      </c>
      <c r="G95" s="105" t="s">
        <v>73</v>
      </c>
      <c r="H95" s="21" t="s">
        <v>164</v>
      </c>
      <c r="I95" s="21" t="s">
        <v>167</v>
      </c>
      <c r="J95" s="124"/>
    </row>
    <row r="96" spans="1:10">
      <c r="A96" s="26" t="s">
        <v>162</v>
      </c>
      <c r="B96" s="27">
        <v>651137.75</v>
      </c>
      <c r="C96" s="27">
        <v>591943.41</v>
      </c>
      <c r="D96" s="27">
        <f t="shared" si="6"/>
        <v>59194.339999999967</v>
      </c>
      <c r="E96" s="28">
        <f t="shared" si="5"/>
        <v>9.9999998310649263E-2</v>
      </c>
      <c r="F96" s="21" t="s">
        <v>169</v>
      </c>
      <c r="G96" s="105" t="s">
        <v>73</v>
      </c>
      <c r="H96" s="21" t="s">
        <v>164</v>
      </c>
      <c r="I96" s="21" t="s">
        <v>167</v>
      </c>
      <c r="J96" s="124"/>
    </row>
    <row r="97" spans="1:14">
      <c r="A97" s="26" t="s">
        <v>170</v>
      </c>
      <c r="B97" s="27">
        <v>790000</v>
      </c>
      <c r="C97" s="27">
        <v>85500</v>
      </c>
      <c r="D97" s="27">
        <f t="shared" si="6"/>
        <v>704500</v>
      </c>
      <c r="E97" s="28">
        <f t="shared" si="5"/>
        <v>8.2397660818713447</v>
      </c>
      <c r="F97" s="21" t="s">
        <v>171</v>
      </c>
      <c r="G97" s="105" t="s">
        <v>73</v>
      </c>
      <c r="H97" s="21" t="s">
        <v>89</v>
      </c>
      <c r="I97" s="21" t="s">
        <v>167</v>
      </c>
      <c r="J97" s="124"/>
    </row>
    <row r="98" spans="1:14">
      <c r="A98" s="26" t="s">
        <v>172</v>
      </c>
      <c r="B98" s="27">
        <v>110903166</v>
      </c>
      <c r="C98" s="27">
        <v>97884522.569999993</v>
      </c>
      <c r="D98" s="27">
        <f t="shared" si="6"/>
        <v>13018643.430000007</v>
      </c>
      <c r="E98" s="28">
        <f t="shared" si="5"/>
        <v>0.13300001969861994</v>
      </c>
      <c r="F98" s="21" t="s">
        <v>173</v>
      </c>
      <c r="G98" s="105" t="s">
        <v>73</v>
      </c>
      <c r="H98" s="21" t="s">
        <v>38</v>
      </c>
      <c r="I98" s="21"/>
      <c r="J98" s="124"/>
    </row>
    <row r="99" spans="1:14">
      <c r="A99" s="26" t="s">
        <v>174</v>
      </c>
      <c r="B99" s="27">
        <v>2428089.7999999998</v>
      </c>
      <c r="C99" s="27">
        <v>2320000</v>
      </c>
      <c r="D99" s="27">
        <f t="shared" si="6"/>
        <v>108089.79999999981</v>
      </c>
      <c r="E99" s="28">
        <f t="shared" si="5"/>
        <v>4.6590431034482675E-2</v>
      </c>
      <c r="F99" s="21" t="s">
        <v>175</v>
      </c>
      <c r="G99" s="105" t="s">
        <v>73</v>
      </c>
      <c r="H99" s="21" t="s">
        <v>38</v>
      </c>
      <c r="I99" s="21"/>
      <c r="J99" s="124"/>
    </row>
    <row r="100" spans="1:14">
      <c r="A100" s="26" t="s">
        <v>176</v>
      </c>
      <c r="B100" s="27">
        <v>11729190</v>
      </c>
      <c r="C100" s="27">
        <v>10564290</v>
      </c>
      <c r="D100" s="27">
        <f t="shared" si="6"/>
        <v>1164900</v>
      </c>
      <c r="E100" s="28">
        <f t="shared" si="5"/>
        <v>0.11026770374535345</v>
      </c>
      <c r="F100" s="21" t="s">
        <v>177</v>
      </c>
      <c r="G100" s="105" t="s">
        <v>73</v>
      </c>
      <c r="H100" s="21" t="s">
        <v>178</v>
      </c>
      <c r="I100" s="21" t="s">
        <v>84</v>
      </c>
      <c r="J100" s="124"/>
      <c r="N100" s="24"/>
    </row>
    <row r="101" spans="1:14">
      <c r="A101" s="26" t="s">
        <v>105</v>
      </c>
      <c r="B101" s="27">
        <v>450000</v>
      </c>
      <c r="C101" s="27">
        <v>395000</v>
      </c>
      <c r="D101" s="27">
        <f t="shared" si="6"/>
        <v>55000</v>
      </c>
      <c r="E101" s="28">
        <f t="shared" si="5"/>
        <v>0.13924050632911392</v>
      </c>
      <c r="F101" s="21" t="s">
        <v>179</v>
      </c>
      <c r="G101" s="105" t="s">
        <v>73</v>
      </c>
      <c r="H101" s="21" t="s">
        <v>178</v>
      </c>
      <c r="I101" s="21"/>
      <c r="J101" s="124"/>
    </row>
    <row r="102" spans="1:14">
      <c r="A102" s="26" t="s">
        <v>112</v>
      </c>
      <c r="B102" s="27">
        <v>616390</v>
      </c>
      <c r="C102" s="27">
        <v>573125</v>
      </c>
      <c r="D102" s="27">
        <f t="shared" si="6"/>
        <v>43265</v>
      </c>
      <c r="E102" s="28">
        <f t="shared" si="5"/>
        <v>7.5489640130861499E-2</v>
      </c>
      <c r="F102" s="21" t="s">
        <v>98</v>
      </c>
      <c r="G102" s="105" t="s">
        <v>73</v>
      </c>
      <c r="H102" s="21" t="s">
        <v>63</v>
      </c>
      <c r="I102" s="21" t="s">
        <v>180</v>
      </c>
      <c r="J102" s="124"/>
    </row>
    <row r="103" spans="1:14">
      <c r="A103" s="26" t="s">
        <v>181</v>
      </c>
      <c r="B103" s="27">
        <v>813579451</v>
      </c>
      <c r="C103" s="27">
        <v>693874961</v>
      </c>
      <c r="D103" s="27">
        <f t="shared" si="6"/>
        <v>119704490</v>
      </c>
      <c r="E103" s="28">
        <f t="shared" si="5"/>
        <v>0.17251593835794862</v>
      </c>
      <c r="F103" s="21" t="s">
        <v>182</v>
      </c>
      <c r="G103" s="105" t="s">
        <v>73</v>
      </c>
      <c r="H103" s="21"/>
      <c r="I103" s="21"/>
      <c r="J103" s="124"/>
    </row>
    <row r="104" spans="1:14">
      <c r="A104" s="26" t="s">
        <v>22</v>
      </c>
      <c r="B104" s="27">
        <v>2227850</v>
      </c>
      <c r="C104" s="27">
        <v>2007150</v>
      </c>
      <c r="D104" s="27">
        <f t="shared" si="6"/>
        <v>220700</v>
      </c>
      <c r="E104" s="28">
        <f t="shared" si="5"/>
        <v>0.10995690406795705</v>
      </c>
      <c r="F104" s="21" t="s">
        <v>183</v>
      </c>
      <c r="G104" s="105" t="s">
        <v>73</v>
      </c>
      <c r="H104" s="21" t="s">
        <v>178</v>
      </c>
      <c r="I104" s="21" t="s">
        <v>84</v>
      </c>
      <c r="J104" s="124"/>
    </row>
    <row r="105" spans="1:14">
      <c r="A105" s="26" t="s">
        <v>184</v>
      </c>
      <c r="B105" s="27">
        <v>986620</v>
      </c>
      <c r="C105" s="27">
        <v>937289</v>
      </c>
      <c r="D105" s="27">
        <f t="shared" si="6"/>
        <v>49331</v>
      </c>
      <c r="E105" s="28">
        <f t="shared" si="5"/>
        <v>5.2631578947368418E-2</v>
      </c>
      <c r="F105" s="21" t="s">
        <v>185</v>
      </c>
      <c r="G105" s="105" t="s">
        <v>73</v>
      </c>
      <c r="H105" s="21" t="s">
        <v>63</v>
      </c>
      <c r="I105" s="21" t="s">
        <v>155</v>
      </c>
      <c r="J105" s="124"/>
    </row>
    <row r="106" spans="1:14">
      <c r="A106" s="26" t="s">
        <v>186</v>
      </c>
      <c r="B106" s="27">
        <v>1526540</v>
      </c>
      <c r="C106" s="27">
        <v>1450180</v>
      </c>
      <c r="D106" s="27">
        <f t="shared" si="6"/>
        <v>76360</v>
      </c>
      <c r="E106" s="28">
        <f t="shared" si="5"/>
        <v>5.2655532416665519E-2</v>
      </c>
      <c r="F106" s="21" t="s">
        <v>187</v>
      </c>
      <c r="G106" s="105" t="s">
        <v>73</v>
      </c>
      <c r="H106" s="21" t="s">
        <v>63</v>
      </c>
      <c r="I106" s="21" t="s">
        <v>188</v>
      </c>
      <c r="J106" s="124"/>
    </row>
    <row r="107" spans="1:14">
      <c r="A107" s="26" t="s">
        <v>186</v>
      </c>
      <c r="B107" s="27">
        <v>3975100</v>
      </c>
      <c r="C107" s="27">
        <v>3565035.81</v>
      </c>
      <c r="D107" s="27">
        <f t="shared" si="6"/>
        <v>410064.18999999994</v>
      </c>
      <c r="E107" s="28">
        <f t="shared" si="5"/>
        <v>0.11502386283182943</v>
      </c>
      <c r="F107" s="21" t="s">
        <v>189</v>
      </c>
      <c r="G107" s="105" t="s">
        <v>73</v>
      </c>
      <c r="H107" s="21" t="s">
        <v>124</v>
      </c>
      <c r="I107" s="21"/>
      <c r="J107" s="124"/>
    </row>
    <row r="108" spans="1:14">
      <c r="A108" s="26" t="s">
        <v>148</v>
      </c>
      <c r="B108" s="27">
        <v>295596</v>
      </c>
      <c r="C108" s="27">
        <v>266036</v>
      </c>
      <c r="D108" s="27">
        <f t="shared" si="6"/>
        <v>29560</v>
      </c>
      <c r="E108" s="28">
        <f t="shared" si="5"/>
        <v>0.11111278172878858</v>
      </c>
      <c r="F108" s="21" t="s">
        <v>190</v>
      </c>
      <c r="G108" s="105" t="s">
        <v>73</v>
      </c>
      <c r="H108" s="21" t="s">
        <v>38</v>
      </c>
      <c r="I108" s="21" t="s">
        <v>191</v>
      </c>
      <c r="J108" s="124"/>
    </row>
    <row r="109" spans="1:14">
      <c r="A109" s="26" t="s">
        <v>148</v>
      </c>
      <c r="B109" s="27">
        <v>139520</v>
      </c>
      <c r="C109" s="27">
        <v>125568</v>
      </c>
      <c r="D109" s="27">
        <f t="shared" si="6"/>
        <v>13952</v>
      </c>
      <c r="E109" s="28">
        <f t="shared" si="5"/>
        <v>0.1111111111111111</v>
      </c>
      <c r="F109" s="21" t="s">
        <v>192</v>
      </c>
      <c r="G109" s="105" t="s">
        <v>73</v>
      </c>
      <c r="H109" s="21" t="s">
        <v>38</v>
      </c>
      <c r="I109" s="21" t="s">
        <v>155</v>
      </c>
      <c r="J109" s="124"/>
    </row>
    <row r="110" spans="1:14">
      <c r="A110" s="26" t="s">
        <v>148</v>
      </c>
      <c r="B110" s="27">
        <v>160000</v>
      </c>
      <c r="C110" s="27">
        <v>144000</v>
      </c>
      <c r="D110" s="27">
        <f t="shared" si="6"/>
        <v>16000</v>
      </c>
      <c r="E110" s="28">
        <f t="shared" si="5"/>
        <v>0.1111111111111111</v>
      </c>
      <c r="F110" s="21" t="s">
        <v>193</v>
      </c>
      <c r="G110" s="105" t="s">
        <v>73</v>
      </c>
      <c r="H110" s="21" t="s">
        <v>38</v>
      </c>
      <c r="I110" s="21" t="s">
        <v>155</v>
      </c>
      <c r="J110" s="124"/>
    </row>
    <row r="111" spans="1:14">
      <c r="A111" s="26" t="s">
        <v>148</v>
      </c>
      <c r="B111" s="27">
        <v>416000</v>
      </c>
      <c r="C111" s="27">
        <v>374400</v>
      </c>
      <c r="D111" s="27">
        <f t="shared" si="6"/>
        <v>41600</v>
      </c>
      <c r="E111" s="28">
        <f t="shared" si="5"/>
        <v>0.1111111111111111</v>
      </c>
      <c r="F111" s="21" t="s">
        <v>194</v>
      </c>
      <c r="G111" s="105" t="s">
        <v>73</v>
      </c>
      <c r="H111" s="21" t="s">
        <v>38</v>
      </c>
      <c r="I111" s="21" t="s">
        <v>155</v>
      </c>
      <c r="J111" s="124"/>
    </row>
    <row r="112" spans="1:14">
      <c r="A112" s="26" t="s">
        <v>148</v>
      </c>
      <c r="B112" s="27">
        <v>464000</v>
      </c>
      <c r="C112" s="27">
        <v>417600</v>
      </c>
      <c r="D112" s="27">
        <f t="shared" si="6"/>
        <v>46400</v>
      </c>
      <c r="E112" s="28">
        <f t="shared" si="5"/>
        <v>0.1111111111111111</v>
      </c>
      <c r="F112" s="21" t="s">
        <v>195</v>
      </c>
      <c r="G112" s="105" t="s">
        <v>73</v>
      </c>
      <c r="H112" s="21" t="s">
        <v>38</v>
      </c>
      <c r="I112" s="21" t="s">
        <v>155</v>
      </c>
      <c r="J112" s="124"/>
    </row>
    <row r="113" spans="1:10">
      <c r="A113" s="26" t="s">
        <v>148</v>
      </c>
      <c r="B113" s="27">
        <v>240000</v>
      </c>
      <c r="C113" s="27">
        <v>216000</v>
      </c>
      <c r="D113" s="27">
        <f t="shared" si="6"/>
        <v>24000</v>
      </c>
      <c r="E113" s="28">
        <f t="shared" si="5"/>
        <v>0.1111111111111111</v>
      </c>
      <c r="F113" s="21" t="s">
        <v>196</v>
      </c>
      <c r="G113" s="105" t="s">
        <v>73</v>
      </c>
      <c r="H113" s="21" t="s">
        <v>38</v>
      </c>
      <c r="I113" s="21" t="s">
        <v>155</v>
      </c>
      <c r="J113" s="124"/>
    </row>
    <row r="114" spans="1:10">
      <c r="A114" s="26" t="s">
        <v>148</v>
      </c>
      <c r="B114" s="27">
        <v>302210</v>
      </c>
      <c r="C114" s="27">
        <v>271990</v>
      </c>
      <c r="D114" s="27">
        <f t="shared" si="6"/>
        <v>30220</v>
      </c>
      <c r="E114" s="28">
        <f t="shared" si="5"/>
        <v>0.11110702599360271</v>
      </c>
      <c r="F114" s="21" t="s">
        <v>197</v>
      </c>
      <c r="G114" s="105" t="s">
        <v>73</v>
      </c>
      <c r="H114" s="21" t="s">
        <v>38</v>
      </c>
      <c r="I114" s="21" t="s">
        <v>155</v>
      </c>
      <c r="J114" s="124"/>
    </row>
    <row r="115" spans="1:10">
      <c r="A115" s="26" t="s">
        <v>148</v>
      </c>
      <c r="B115" s="27">
        <v>1581048</v>
      </c>
      <c r="C115" s="27">
        <v>1422944</v>
      </c>
      <c r="D115" s="27">
        <f t="shared" si="6"/>
        <v>158104</v>
      </c>
      <c r="E115" s="28">
        <f t="shared" si="5"/>
        <v>0.11111048642813771</v>
      </c>
      <c r="F115" s="21" t="s">
        <v>198</v>
      </c>
      <c r="G115" s="105" t="s">
        <v>73</v>
      </c>
      <c r="H115" s="21" t="s">
        <v>63</v>
      </c>
      <c r="I115" s="21" t="s">
        <v>199</v>
      </c>
      <c r="J115" s="124"/>
    </row>
    <row r="116" spans="1:10">
      <c r="A116" s="26" t="s">
        <v>22</v>
      </c>
      <c r="B116" s="27">
        <v>5048850</v>
      </c>
      <c r="C116" s="27">
        <v>4543950</v>
      </c>
      <c r="D116" s="27">
        <f t="shared" si="6"/>
        <v>504900</v>
      </c>
      <c r="E116" s="28">
        <f t="shared" si="5"/>
        <v>0.1111147789918463</v>
      </c>
      <c r="F116" s="21" t="s">
        <v>200</v>
      </c>
      <c r="G116" s="105" t="s">
        <v>73</v>
      </c>
      <c r="H116" s="21" t="s">
        <v>124</v>
      </c>
      <c r="I116" s="21"/>
      <c r="J116" s="124"/>
    </row>
    <row r="117" spans="1:10">
      <c r="A117" s="26" t="s">
        <v>91</v>
      </c>
      <c r="B117" s="27">
        <v>3680000</v>
      </c>
      <c r="C117" s="27">
        <v>3180000</v>
      </c>
      <c r="D117" s="27">
        <f t="shared" si="6"/>
        <v>500000</v>
      </c>
      <c r="E117" s="28">
        <f t="shared" si="5"/>
        <v>0.15723270440251572</v>
      </c>
      <c r="F117" s="21" t="s">
        <v>201</v>
      </c>
      <c r="G117" s="105" t="s">
        <v>73</v>
      </c>
      <c r="H117" s="21" t="s">
        <v>63</v>
      </c>
      <c r="I117" s="21" t="s">
        <v>202</v>
      </c>
      <c r="J117" s="124"/>
    </row>
    <row r="118" spans="1:10">
      <c r="A118" s="26" t="s">
        <v>148</v>
      </c>
      <c r="B118" s="27">
        <v>266448</v>
      </c>
      <c r="C118" s="27">
        <v>250776</v>
      </c>
      <c r="D118" s="27">
        <f t="shared" si="6"/>
        <v>15672</v>
      </c>
      <c r="E118" s="28">
        <f t="shared" si="5"/>
        <v>6.2494018566369991E-2</v>
      </c>
      <c r="F118" s="21" t="s">
        <v>203</v>
      </c>
      <c r="G118" s="105" t="s">
        <v>73</v>
      </c>
      <c r="H118" s="21" t="s">
        <v>63</v>
      </c>
      <c r="I118" s="21" t="s">
        <v>155</v>
      </c>
      <c r="J118" s="124"/>
    </row>
    <row r="119" spans="1:10">
      <c r="A119" s="26" t="s">
        <v>204</v>
      </c>
      <c r="B119" s="27">
        <v>2315745.46</v>
      </c>
      <c r="C119" s="27">
        <v>2130471</v>
      </c>
      <c r="D119" s="27">
        <f t="shared" si="6"/>
        <v>185274.45999999996</v>
      </c>
      <c r="E119" s="28">
        <f t="shared" si="5"/>
        <v>8.6964084467706884E-2</v>
      </c>
      <c r="F119" s="21" t="s">
        <v>205</v>
      </c>
      <c r="G119" s="105" t="s">
        <v>73</v>
      </c>
      <c r="H119" s="21" t="s">
        <v>63</v>
      </c>
      <c r="I119" s="21" t="s">
        <v>155</v>
      </c>
      <c r="J119" s="124"/>
    </row>
    <row r="120" spans="1:10">
      <c r="A120" s="26" t="s">
        <v>206</v>
      </c>
      <c r="B120" s="27">
        <v>867740</v>
      </c>
      <c r="C120" s="27">
        <v>780966</v>
      </c>
      <c r="D120" s="27">
        <f t="shared" si="6"/>
        <v>86774</v>
      </c>
      <c r="E120" s="28">
        <f t="shared" si="5"/>
        <v>0.1111111111111111</v>
      </c>
      <c r="F120" s="21" t="s">
        <v>207</v>
      </c>
      <c r="G120" s="105" t="s">
        <v>73</v>
      </c>
      <c r="H120" s="21" t="s">
        <v>63</v>
      </c>
      <c r="I120" s="21" t="s">
        <v>155</v>
      </c>
      <c r="J120" s="124"/>
    </row>
    <row r="121" spans="1:10">
      <c r="A121" s="26" t="s">
        <v>206</v>
      </c>
      <c r="B121" s="27">
        <v>1795000</v>
      </c>
      <c r="C121" s="27">
        <v>1705250</v>
      </c>
      <c r="D121" s="27">
        <f t="shared" si="6"/>
        <v>89750</v>
      </c>
      <c r="E121" s="28">
        <f t="shared" si="5"/>
        <v>5.2631578947368418E-2</v>
      </c>
      <c r="F121" s="21" t="s">
        <v>208</v>
      </c>
      <c r="G121" s="105" t="s">
        <v>73</v>
      </c>
      <c r="H121" s="21" t="s">
        <v>63</v>
      </c>
      <c r="I121" s="21" t="s">
        <v>155</v>
      </c>
      <c r="J121" s="124"/>
    </row>
    <row r="122" spans="1:10">
      <c r="A122" s="26" t="s">
        <v>209</v>
      </c>
      <c r="B122" s="27">
        <v>2646886</v>
      </c>
      <c r="C122" s="27">
        <v>2514536</v>
      </c>
      <c r="D122" s="27">
        <f t="shared" si="6"/>
        <v>132350</v>
      </c>
      <c r="E122" s="28">
        <f t="shared" si="5"/>
        <v>5.2633965073476778E-2</v>
      </c>
      <c r="F122" s="21" t="s">
        <v>210</v>
      </c>
      <c r="G122" s="105" t="s">
        <v>73</v>
      </c>
      <c r="H122" s="21" t="s">
        <v>38</v>
      </c>
      <c r="I122" s="21" t="s">
        <v>155</v>
      </c>
      <c r="J122" s="124"/>
    </row>
    <row r="123" spans="1:10">
      <c r="A123" s="26" t="s">
        <v>211</v>
      </c>
      <c r="B123" s="27">
        <v>39232613.600000001</v>
      </c>
      <c r="C123" s="27">
        <v>34524699.969999999</v>
      </c>
      <c r="D123" s="27">
        <f t="shared" si="6"/>
        <v>4707913.6300000027</v>
      </c>
      <c r="E123" s="28">
        <f t="shared" si="5"/>
        <v>0.13636363629780743</v>
      </c>
      <c r="F123" s="21" t="s">
        <v>212</v>
      </c>
      <c r="G123" s="105" t="s">
        <v>73</v>
      </c>
      <c r="H123" s="21" t="s">
        <v>164</v>
      </c>
      <c r="I123" s="21" t="s">
        <v>165</v>
      </c>
      <c r="J123" s="124"/>
    </row>
    <row r="124" spans="1:10">
      <c r="A124" s="26" t="s">
        <v>213</v>
      </c>
      <c r="B124" s="27">
        <v>676000</v>
      </c>
      <c r="C124" s="27">
        <v>610200</v>
      </c>
      <c r="D124" s="27">
        <f t="shared" si="6"/>
        <v>65800</v>
      </c>
      <c r="E124" s="28">
        <f t="shared" si="5"/>
        <v>0.10783349721402818</v>
      </c>
      <c r="F124" s="21" t="s">
        <v>214</v>
      </c>
      <c r="G124" s="105" t="s">
        <v>73</v>
      </c>
      <c r="H124" s="21" t="s">
        <v>63</v>
      </c>
      <c r="I124" s="21" t="s">
        <v>155</v>
      </c>
      <c r="J124" s="124"/>
    </row>
    <row r="125" spans="1:10">
      <c r="A125" s="26" t="s">
        <v>213</v>
      </c>
      <c r="B125" s="27">
        <v>933000</v>
      </c>
      <c r="C125" s="27">
        <v>849700</v>
      </c>
      <c r="D125" s="27">
        <f t="shared" si="6"/>
        <v>83300</v>
      </c>
      <c r="E125" s="28">
        <f t="shared" si="5"/>
        <v>9.8034600447216666E-2</v>
      </c>
      <c r="F125" s="21" t="s">
        <v>215</v>
      </c>
      <c r="G125" s="105" t="s">
        <v>73</v>
      </c>
      <c r="H125" s="21" t="s">
        <v>63</v>
      </c>
      <c r="I125" s="21" t="s">
        <v>155</v>
      </c>
      <c r="J125" s="124"/>
    </row>
    <row r="126" spans="1:10">
      <c r="A126" s="26" t="s">
        <v>148</v>
      </c>
      <c r="B126" s="27">
        <v>615230</v>
      </c>
      <c r="C126" s="27">
        <v>597135</v>
      </c>
      <c r="D126" s="27">
        <f t="shared" si="6"/>
        <v>18095</v>
      </c>
      <c r="E126" s="28">
        <f t="shared" si="5"/>
        <v>3.0303030303030304E-2</v>
      </c>
      <c r="F126" s="21" t="s">
        <v>216</v>
      </c>
      <c r="G126" s="105" t="s">
        <v>73</v>
      </c>
      <c r="H126" s="21" t="s">
        <v>63</v>
      </c>
      <c r="I126" s="21" t="s">
        <v>155</v>
      </c>
      <c r="J126" s="124"/>
    </row>
    <row r="127" spans="1:10">
      <c r="A127" s="26" t="s">
        <v>148</v>
      </c>
      <c r="B127" s="27">
        <v>615230</v>
      </c>
      <c r="C127" s="27">
        <v>597135</v>
      </c>
      <c r="D127" s="27">
        <f t="shared" si="6"/>
        <v>18095</v>
      </c>
      <c r="E127" s="28">
        <f t="shared" si="5"/>
        <v>3.0303030303030304E-2</v>
      </c>
      <c r="F127" s="21" t="s">
        <v>217</v>
      </c>
      <c r="G127" s="105" t="s">
        <v>73</v>
      </c>
      <c r="H127" s="21" t="s">
        <v>63</v>
      </c>
      <c r="I127" s="21" t="s">
        <v>155</v>
      </c>
      <c r="J127" s="124"/>
    </row>
    <row r="128" spans="1:10">
      <c r="A128" s="26" t="s">
        <v>148</v>
      </c>
      <c r="B128" s="27">
        <v>957308</v>
      </c>
      <c r="C128" s="27">
        <v>930336</v>
      </c>
      <c r="D128" s="27">
        <f t="shared" si="6"/>
        <v>26972</v>
      </c>
      <c r="E128" s="28">
        <f t="shared" ref="E128:E191" si="11">(B128-C128)/C128</f>
        <v>2.8991676125614832E-2</v>
      </c>
      <c r="F128" s="21" t="s">
        <v>218</v>
      </c>
      <c r="G128" s="105" t="s">
        <v>73</v>
      </c>
      <c r="H128" s="21" t="s">
        <v>63</v>
      </c>
      <c r="I128" s="21" t="s">
        <v>155</v>
      </c>
      <c r="J128" s="124"/>
    </row>
    <row r="129" spans="1:10">
      <c r="A129" s="26" t="s">
        <v>148</v>
      </c>
      <c r="B129" s="27">
        <v>1431964</v>
      </c>
      <c r="C129" s="27">
        <v>1384232</v>
      </c>
      <c r="D129" s="27">
        <f t="shared" si="6"/>
        <v>47732</v>
      </c>
      <c r="E129" s="28">
        <f t="shared" si="11"/>
        <v>3.4482658976240976E-2</v>
      </c>
      <c r="F129" s="21" t="s">
        <v>219</v>
      </c>
      <c r="G129" s="105" t="s">
        <v>73</v>
      </c>
      <c r="H129" s="21" t="s">
        <v>63</v>
      </c>
      <c r="I129" s="21" t="s">
        <v>155</v>
      </c>
      <c r="J129" s="124"/>
    </row>
    <row r="130" spans="1:10">
      <c r="A130" s="138" t="s">
        <v>220</v>
      </c>
      <c r="B130" s="138"/>
      <c r="C130" s="138"/>
      <c r="D130" s="138"/>
      <c r="E130" s="138"/>
      <c r="F130" s="138"/>
      <c r="G130" s="138"/>
      <c r="H130" s="138"/>
      <c r="I130" s="138"/>
      <c r="J130" s="138"/>
    </row>
    <row r="131" spans="1:10">
      <c r="A131" s="26" t="s">
        <v>186</v>
      </c>
      <c r="B131" s="27">
        <v>1169520</v>
      </c>
      <c r="C131" s="27">
        <v>1060400</v>
      </c>
      <c r="D131" s="27">
        <f t="shared" ref="D131:D193" si="12">B131-C131</f>
        <v>109120</v>
      </c>
      <c r="E131" s="28">
        <f t="shared" si="11"/>
        <v>0.10290456431535269</v>
      </c>
      <c r="F131" s="21" t="s">
        <v>221</v>
      </c>
      <c r="G131" s="105" t="s">
        <v>222</v>
      </c>
      <c r="H131" s="21" t="s">
        <v>89</v>
      </c>
      <c r="I131" s="21" t="s">
        <v>223</v>
      </c>
      <c r="J131" s="154">
        <f>SUM(D131:D165)</f>
        <v>16159504.92</v>
      </c>
    </row>
    <row r="132" spans="1:10">
      <c r="A132" s="26" t="s">
        <v>224</v>
      </c>
      <c r="B132" s="27">
        <v>990320</v>
      </c>
      <c r="C132" s="27">
        <v>920997</v>
      </c>
      <c r="D132" s="27">
        <f t="shared" si="12"/>
        <v>69323</v>
      </c>
      <c r="E132" s="28">
        <f t="shared" si="11"/>
        <v>7.5269517707440961E-2</v>
      </c>
      <c r="F132" s="21" t="s">
        <v>225</v>
      </c>
      <c r="G132" s="105" t="s">
        <v>222</v>
      </c>
      <c r="H132" s="21" t="s">
        <v>38</v>
      </c>
      <c r="I132" s="21"/>
      <c r="J132" s="154"/>
    </row>
    <row r="133" spans="1:10">
      <c r="A133" s="26" t="s">
        <v>224</v>
      </c>
      <c r="B133" s="27">
        <v>5741680</v>
      </c>
      <c r="C133" s="27">
        <v>5339836</v>
      </c>
      <c r="D133" s="27">
        <f t="shared" si="12"/>
        <v>401844</v>
      </c>
      <c r="E133" s="28">
        <f t="shared" si="11"/>
        <v>7.5253996564688508E-2</v>
      </c>
      <c r="F133" s="21" t="s">
        <v>226</v>
      </c>
      <c r="G133" s="105" t="s">
        <v>222</v>
      </c>
      <c r="H133" s="21" t="s">
        <v>89</v>
      </c>
      <c r="I133" s="21" t="s">
        <v>227</v>
      </c>
      <c r="J133" s="154"/>
    </row>
    <row r="134" spans="1:10">
      <c r="A134" s="26" t="s">
        <v>224</v>
      </c>
      <c r="B134" s="27">
        <v>7995030</v>
      </c>
      <c r="C134" s="27">
        <v>3503880</v>
      </c>
      <c r="D134" s="27">
        <f t="shared" si="12"/>
        <v>4491150</v>
      </c>
      <c r="E134" s="28">
        <f t="shared" si="11"/>
        <v>1.2817647864652899</v>
      </c>
      <c r="F134" s="21" t="s">
        <v>56</v>
      </c>
      <c r="G134" s="105" t="s">
        <v>222</v>
      </c>
      <c r="H134" s="21" t="s">
        <v>38</v>
      </c>
      <c r="I134" s="21"/>
      <c r="J134" s="154"/>
    </row>
    <row r="135" spans="1:10">
      <c r="A135" s="26" t="s">
        <v>228</v>
      </c>
      <c r="B135" s="27">
        <v>305934</v>
      </c>
      <c r="C135" s="27">
        <v>284393</v>
      </c>
      <c r="D135" s="27">
        <f t="shared" si="12"/>
        <v>21541</v>
      </c>
      <c r="E135" s="28">
        <f t="shared" si="11"/>
        <v>7.5743777097185938E-2</v>
      </c>
      <c r="F135" s="21" t="s">
        <v>23</v>
      </c>
      <c r="G135" s="105" t="s">
        <v>222</v>
      </c>
      <c r="H135" s="21" t="s">
        <v>63</v>
      </c>
      <c r="I135" s="21" t="s">
        <v>229</v>
      </c>
      <c r="J135" s="154"/>
    </row>
    <row r="136" spans="1:10">
      <c r="A136" s="26" t="s">
        <v>148</v>
      </c>
      <c r="B136" s="27">
        <v>1032120</v>
      </c>
      <c r="C136" s="27">
        <v>990000</v>
      </c>
      <c r="D136" s="27">
        <f t="shared" si="12"/>
        <v>42120</v>
      </c>
      <c r="E136" s="28">
        <f t="shared" si="11"/>
        <v>4.2545454545454546E-2</v>
      </c>
      <c r="F136" s="21" t="s">
        <v>230</v>
      </c>
      <c r="G136" s="105" t="s">
        <v>222</v>
      </c>
      <c r="H136" s="21" t="s">
        <v>63</v>
      </c>
      <c r="I136" s="21"/>
      <c r="J136" s="154"/>
    </row>
    <row r="137" spans="1:10">
      <c r="A137" s="26" t="s">
        <v>231</v>
      </c>
      <c r="B137" s="27">
        <v>10921255</v>
      </c>
      <c r="C137" s="27">
        <v>8465245</v>
      </c>
      <c r="D137" s="27">
        <f t="shared" si="12"/>
        <v>2456010</v>
      </c>
      <c r="E137" s="28">
        <f t="shared" si="11"/>
        <v>0.29012863774173103</v>
      </c>
      <c r="F137" s="21" t="s">
        <v>232</v>
      </c>
      <c r="G137" s="105" t="s">
        <v>222</v>
      </c>
      <c r="H137" s="21" t="s">
        <v>63</v>
      </c>
      <c r="I137" s="21" t="s">
        <v>233</v>
      </c>
      <c r="J137" s="154"/>
    </row>
    <row r="138" spans="1:10">
      <c r="A138" s="26" t="s">
        <v>224</v>
      </c>
      <c r="B138" s="27">
        <v>2458660</v>
      </c>
      <c r="C138" s="27">
        <v>2311140</v>
      </c>
      <c r="D138" s="27">
        <f t="shared" si="12"/>
        <v>147520</v>
      </c>
      <c r="E138" s="28">
        <f t="shared" si="11"/>
        <v>6.382997135612728E-2</v>
      </c>
      <c r="F138" s="21" t="s">
        <v>56</v>
      </c>
      <c r="G138" s="105" t="s">
        <v>222</v>
      </c>
      <c r="H138" s="21" t="s">
        <v>234</v>
      </c>
      <c r="I138" s="21" t="s">
        <v>167</v>
      </c>
      <c r="J138" s="154"/>
    </row>
    <row r="139" spans="1:10">
      <c r="A139" s="26" t="s">
        <v>206</v>
      </c>
      <c r="B139" s="27">
        <v>1420000</v>
      </c>
      <c r="C139" s="27">
        <v>1349000</v>
      </c>
      <c r="D139" s="27">
        <f t="shared" si="12"/>
        <v>71000</v>
      </c>
      <c r="E139" s="28">
        <f t="shared" si="11"/>
        <v>5.2631578947368418E-2</v>
      </c>
      <c r="F139" s="21" t="s">
        <v>235</v>
      </c>
      <c r="G139" s="105" t="s">
        <v>222</v>
      </c>
      <c r="H139" s="21" t="s">
        <v>236</v>
      </c>
      <c r="I139" s="21" t="s">
        <v>155</v>
      </c>
      <c r="J139" s="154"/>
    </row>
    <row r="140" spans="1:10">
      <c r="A140" s="26" t="s">
        <v>85</v>
      </c>
      <c r="B140" s="27">
        <v>2376400</v>
      </c>
      <c r="C140" s="27">
        <v>2186288</v>
      </c>
      <c r="D140" s="27">
        <f t="shared" si="12"/>
        <v>190112</v>
      </c>
      <c r="E140" s="28">
        <f t="shared" si="11"/>
        <v>8.6956521739130432E-2</v>
      </c>
      <c r="F140" s="21" t="s">
        <v>237</v>
      </c>
      <c r="G140" s="105" t="s">
        <v>222</v>
      </c>
      <c r="H140" s="21" t="s">
        <v>89</v>
      </c>
      <c r="I140" s="21" t="s">
        <v>238</v>
      </c>
      <c r="J140" s="154"/>
    </row>
    <row r="141" spans="1:10">
      <c r="A141" s="26" t="s">
        <v>239</v>
      </c>
      <c r="B141" s="27">
        <v>2595000</v>
      </c>
      <c r="C141" s="27">
        <v>2298000</v>
      </c>
      <c r="D141" s="27">
        <f t="shared" si="12"/>
        <v>297000</v>
      </c>
      <c r="E141" s="28">
        <f t="shared" si="11"/>
        <v>0.12924281984334204</v>
      </c>
      <c r="F141" s="21" t="s">
        <v>240</v>
      </c>
      <c r="G141" s="105" t="s">
        <v>222</v>
      </c>
      <c r="H141" s="21" t="s">
        <v>241</v>
      </c>
      <c r="I141" s="21" t="s">
        <v>242</v>
      </c>
      <c r="J141" s="154"/>
    </row>
    <row r="142" spans="1:10">
      <c r="A142" s="26" t="s">
        <v>228</v>
      </c>
      <c r="B142" s="27">
        <v>498561</v>
      </c>
      <c r="C142" s="27">
        <v>468760</v>
      </c>
      <c r="D142" s="27">
        <f t="shared" si="12"/>
        <v>29801</v>
      </c>
      <c r="E142" s="28">
        <f t="shared" si="11"/>
        <v>6.3574110418977731E-2</v>
      </c>
      <c r="F142" s="21" t="s">
        <v>243</v>
      </c>
      <c r="G142" s="105" t="s">
        <v>222</v>
      </c>
      <c r="H142" s="21" t="s">
        <v>89</v>
      </c>
      <c r="I142" s="21" t="s">
        <v>223</v>
      </c>
      <c r="J142" s="154"/>
    </row>
    <row r="143" spans="1:10">
      <c r="A143" s="26" t="s">
        <v>148</v>
      </c>
      <c r="B143" s="27">
        <v>937393</v>
      </c>
      <c r="C143" s="27">
        <v>824906</v>
      </c>
      <c r="D143" s="27">
        <f t="shared" si="12"/>
        <v>112487</v>
      </c>
      <c r="E143" s="28">
        <f t="shared" si="11"/>
        <v>0.13636341595284796</v>
      </c>
      <c r="F143" s="21" t="s">
        <v>244</v>
      </c>
      <c r="G143" s="105" t="s">
        <v>222</v>
      </c>
      <c r="H143" s="21" t="s">
        <v>178</v>
      </c>
      <c r="I143" s="21" t="s">
        <v>191</v>
      </c>
      <c r="J143" s="154"/>
    </row>
    <row r="144" spans="1:10">
      <c r="A144" s="26" t="s">
        <v>148</v>
      </c>
      <c r="B144" s="27">
        <v>445184</v>
      </c>
      <c r="C144" s="27">
        <v>415428</v>
      </c>
      <c r="D144" s="27">
        <f t="shared" si="12"/>
        <v>29756</v>
      </c>
      <c r="E144" s="28">
        <f t="shared" si="11"/>
        <v>7.1627333737735541E-2</v>
      </c>
      <c r="F144" s="21" t="s">
        <v>245</v>
      </c>
      <c r="G144" s="105" t="s">
        <v>222</v>
      </c>
      <c r="H144" s="21" t="s">
        <v>38</v>
      </c>
      <c r="I144" s="21" t="s">
        <v>246</v>
      </c>
      <c r="J144" s="154"/>
    </row>
    <row r="145" spans="1:10">
      <c r="A145" s="26" t="s">
        <v>247</v>
      </c>
      <c r="B145" s="27">
        <v>870000</v>
      </c>
      <c r="C145" s="27">
        <v>783000</v>
      </c>
      <c r="D145" s="27">
        <f t="shared" si="12"/>
        <v>87000</v>
      </c>
      <c r="E145" s="28">
        <f t="shared" si="11"/>
        <v>0.1111111111111111</v>
      </c>
      <c r="F145" s="21" t="s">
        <v>248</v>
      </c>
      <c r="G145" s="105" t="s">
        <v>222</v>
      </c>
      <c r="H145" s="21" t="s">
        <v>89</v>
      </c>
      <c r="I145" s="21" t="s">
        <v>249</v>
      </c>
      <c r="J145" s="154"/>
    </row>
    <row r="146" spans="1:10">
      <c r="A146" s="26" t="s">
        <v>250</v>
      </c>
      <c r="B146" s="27">
        <v>278000</v>
      </c>
      <c r="C146" s="27">
        <v>253000</v>
      </c>
      <c r="D146" s="27">
        <f t="shared" si="12"/>
        <v>25000</v>
      </c>
      <c r="E146" s="28">
        <f t="shared" si="11"/>
        <v>9.8814229249011856E-2</v>
      </c>
      <c r="F146" s="21" t="s">
        <v>251</v>
      </c>
      <c r="G146" s="105" t="s">
        <v>222</v>
      </c>
      <c r="H146" s="21" t="s">
        <v>38</v>
      </c>
      <c r="I146" s="21" t="s">
        <v>246</v>
      </c>
      <c r="J146" s="154"/>
    </row>
    <row r="147" spans="1:10">
      <c r="A147" s="26" t="s">
        <v>252</v>
      </c>
      <c r="B147" s="27">
        <v>1250228</v>
      </c>
      <c r="C147" s="27">
        <v>1225318.5</v>
      </c>
      <c r="D147" s="27">
        <f t="shared" si="12"/>
        <v>24909.5</v>
      </c>
      <c r="E147" s="28">
        <f t="shared" si="11"/>
        <v>2.032900017424041E-2</v>
      </c>
      <c r="F147" s="21" t="s">
        <v>253</v>
      </c>
      <c r="G147" s="105" t="s">
        <v>222</v>
      </c>
      <c r="H147" s="21" t="s">
        <v>89</v>
      </c>
      <c r="I147" s="21" t="s">
        <v>227</v>
      </c>
      <c r="J147" s="154"/>
    </row>
    <row r="148" spans="1:10">
      <c r="A148" s="26" t="s">
        <v>186</v>
      </c>
      <c r="B148" s="27">
        <v>390000</v>
      </c>
      <c r="C148" s="27">
        <v>351000</v>
      </c>
      <c r="D148" s="27">
        <f t="shared" si="12"/>
        <v>39000</v>
      </c>
      <c r="E148" s="28">
        <f t="shared" si="11"/>
        <v>0.1111111111111111</v>
      </c>
      <c r="F148" s="21" t="s">
        <v>221</v>
      </c>
      <c r="G148" s="105" t="s">
        <v>222</v>
      </c>
      <c r="H148" s="21" t="s">
        <v>63</v>
      </c>
      <c r="I148" s="21" t="s">
        <v>254</v>
      </c>
      <c r="J148" s="154"/>
    </row>
    <row r="149" spans="1:10">
      <c r="A149" s="26" t="s">
        <v>224</v>
      </c>
      <c r="B149" s="27">
        <v>734740</v>
      </c>
      <c r="C149" s="27">
        <v>698070</v>
      </c>
      <c r="D149" s="27">
        <f t="shared" si="12"/>
        <v>36670</v>
      </c>
      <c r="E149" s="28">
        <f t="shared" si="11"/>
        <v>5.2530548512326844E-2</v>
      </c>
      <c r="F149" s="21" t="s">
        <v>255</v>
      </c>
      <c r="G149" s="105" t="s">
        <v>222</v>
      </c>
      <c r="H149" s="21" t="s">
        <v>89</v>
      </c>
      <c r="I149" s="21" t="s">
        <v>256</v>
      </c>
      <c r="J149" s="154"/>
    </row>
    <row r="150" spans="1:10">
      <c r="A150" s="26" t="s">
        <v>257</v>
      </c>
      <c r="B150" s="27">
        <v>6837000</v>
      </c>
      <c r="C150" s="27">
        <v>6290040</v>
      </c>
      <c r="D150" s="27">
        <f t="shared" si="12"/>
        <v>546960</v>
      </c>
      <c r="E150" s="28">
        <f t="shared" si="11"/>
        <v>8.6956521739130432E-2</v>
      </c>
      <c r="F150" s="21" t="s">
        <v>258</v>
      </c>
      <c r="G150" s="105" t="s">
        <v>222</v>
      </c>
      <c r="H150" s="21" t="s">
        <v>63</v>
      </c>
      <c r="I150" s="21" t="s">
        <v>259</v>
      </c>
      <c r="J150" s="154"/>
    </row>
    <row r="151" spans="1:10">
      <c r="A151" s="26" t="s">
        <v>260</v>
      </c>
      <c r="B151" s="27">
        <v>1053000</v>
      </c>
      <c r="C151" s="27">
        <v>947700</v>
      </c>
      <c r="D151" s="27">
        <f t="shared" si="12"/>
        <v>105300</v>
      </c>
      <c r="E151" s="28">
        <f t="shared" si="11"/>
        <v>0.1111111111111111</v>
      </c>
      <c r="F151" s="21" t="s">
        <v>261</v>
      </c>
      <c r="G151" s="105" t="s">
        <v>222</v>
      </c>
      <c r="H151" s="21" t="s">
        <v>89</v>
      </c>
      <c r="I151" s="21" t="s">
        <v>262</v>
      </c>
      <c r="J151" s="154"/>
    </row>
    <row r="152" spans="1:10">
      <c r="A152" s="26" t="s">
        <v>260</v>
      </c>
      <c r="B152" s="27">
        <v>522900</v>
      </c>
      <c r="C152" s="27">
        <v>469800</v>
      </c>
      <c r="D152" s="27">
        <f t="shared" si="12"/>
        <v>53100</v>
      </c>
      <c r="E152" s="28">
        <f t="shared" si="11"/>
        <v>0.11302681992337164</v>
      </c>
      <c r="F152" s="21" t="s">
        <v>263</v>
      </c>
      <c r="G152" s="105" t="s">
        <v>222</v>
      </c>
      <c r="H152" s="21" t="s">
        <v>89</v>
      </c>
      <c r="I152" s="21" t="s">
        <v>262</v>
      </c>
      <c r="J152" s="154"/>
    </row>
    <row r="153" spans="1:10">
      <c r="A153" s="26" t="s">
        <v>148</v>
      </c>
      <c r="B153" s="27">
        <v>2418926</v>
      </c>
      <c r="C153" s="27">
        <v>2309222</v>
      </c>
      <c r="D153" s="27">
        <f t="shared" si="12"/>
        <v>109704</v>
      </c>
      <c r="E153" s="28">
        <f t="shared" si="11"/>
        <v>4.7506909253419549E-2</v>
      </c>
      <c r="F153" s="21" t="s">
        <v>264</v>
      </c>
      <c r="G153" s="105" t="s">
        <v>222</v>
      </c>
      <c r="H153" s="21" t="s">
        <v>63</v>
      </c>
      <c r="I153" s="21" t="s">
        <v>155</v>
      </c>
      <c r="J153" s="154"/>
    </row>
    <row r="154" spans="1:10">
      <c r="A154" s="26" t="s">
        <v>224</v>
      </c>
      <c r="B154" s="27">
        <v>6762000</v>
      </c>
      <c r="C154" s="27">
        <v>6212100</v>
      </c>
      <c r="D154" s="27">
        <f t="shared" si="12"/>
        <v>549900</v>
      </c>
      <c r="E154" s="28">
        <f t="shared" si="11"/>
        <v>8.8520790070990493E-2</v>
      </c>
      <c r="F154" s="21" t="s">
        <v>265</v>
      </c>
      <c r="G154" s="105" t="s">
        <v>222</v>
      </c>
      <c r="H154" s="21" t="s">
        <v>38</v>
      </c>
      <c r="I154" s="21"/>
      <c r="J154" s="154"/>
    </row>
    <row r="155" spans="1:10">
      <c r="A155" s="26" t="s">
        <v>266</v>
      </c>
      <c r="B155" s="27">
        <v>1611652.46</v>
      </c>
      <c r="C155" s="27">
        <v>1532897.2</v>
      </c>
      <c r="D155" s="27">
        <f t="shared" si="12"/>
        <v>78755.260000000009</v>
      </c>
      <c r="E155" s="28">
        <f t="shared" si="11"/>
        <v>5.1376739418664219E-2</v>
      </c>
      <c r="F155" s="21" t="s">
        <v>267</v>
      </c>
      <c r="G155" s="105" t="s">
        <v>222</v>
      </c>
      <c r="H155" s="21" t="s">
        <v>268</v>
      </c>
      <c r="I155" s="21" t="s">
        <v>269</v>
      </c>
      <c r="J155" s="154"/>
    </row>
    <row r="156" spans="1:10">
      <c r="A156" s="26" t="s">
        <v>270</v>
      </c>
      <c r="B156" s="27">
        <v>9873600</v>
      </c>
      <c r="C156" s="27">
        <v>9379920</v>
      </c>
      <c r="D156" s="27">
        <f t="shared" si="12"/>
        <v>493680</v>
      </c>
      <c r="E156" s="28">
        <f t="shared" si="11"/>
        <v>5.2631578947368418E-2</v>
      </c>
      <c r="F156" s="21" t="s">
        <v>271</v>
      </c>
      <c r="G156" s="105" t="s">
        <v>222</v>
      </c>
      <c r="H156" s="21" t="s">
        <v>241</v>
      </c>
      <c r="I156" s="21" t="s">
        <v>242</v>
      </c>
      <c r="J156" s="154"/>
    </row>
    <row r="157" spans="1:10">
      <c r="A157" s="26" t="s">
        <v>272</v>
      </c>
      <c r="B157" s="27">
        <v>758617.12</v>
      </c>
      <c r="C157" s="27">
        <v>655355.37</v>
      </c>
      <c r="D157" s="27">
        <f t="shared" si="12"/>
        <v>103261.75</v>
      </c>
      <c r="E157" s="28">
        <f t="shared" si="11"/>
        <v>0.15756603932306223</v>
      </c>
      <c r="F157" s="21" t="s">
        <v>273</v>
      </c>
      <c r="G157" s="105" t="s">
        <v>222</v>
      </c>
      <c r="H157" s="21" t="s">
        <v>89</v>
      </c>
      <c r="I157" s="21" t="s">
        <v>274</v>
      </c>
      <c r="J157" s="154"/>
    </row>
    <row r="158" spans="1:10">
      <c r="A158" s="26" t="s">
        <v>224</v>
      </c>
      <c r="B158" s="27">
        <v>232520</v>
      </c>
      <c r="C158" s="27">
        <v>209268</v>
      </c>
      <c r="D158" s="27">
        <f t="shared" si="12"/>
        <v>23252</v>
      </c>
      <c r="E158" s="28">
        <f t="shared" si="11"/>
        <v>0.1111111111111111</v>
      </c>
      <c r="F158" s="21" t="s">
        <v>275</v>
      </c>
      <c r="G158" s="105" t="s">
        <v>222</v>
      </c>
      <c r="H158" s="21" t="s">
        <v>89</v>
      </c>
      <c r="I158" s="21" t="s">
        <v>274</v>
      </c>
      <c r="J158" s="154"/>
    </row>
    <row r="159" spans="1:10">
      <c r="A159" s="26" t="s">
        <v>228</v>
      </c>
      <c r="B159" s="27">
        <v>1488659.58</v>
      </c>
      <c r="C159" s="27">
        <v>1399178</v>
      </c>
      <c r="D159" s="27">
        <f t="shared" si="12"/>
        <v>89481.580000000075</v>
      </c>
      <c r="E159" s="28">
        <f t="shared" si="11"/>
        <v>6.3952963811609448E-2</v>
      </c>
      <c r="F159" s="21" t="s">
        <v>276</v>
      </c>
      <c r="G159" s="105" t="s">
        <v>222</v>
      </c>
      <c r="H159" s="21" t="s">
        <v>241</v>
      </c>
      <c r="I159" s="21" t="s">
        <v>242</v>
      </c>
      <c r="J159" s="154"/>
    </row>
    <row r="160" spans="1:10">
      <c r="A160" s="26" t="s">
        <v>277</v>
      </c>
      <c r="B160" s="27">
        <v>1289430</v>
      </c>
      <c r="C160" s="27">
        <v>1206140</v>
      </c>
      <c r="D160" s="27">
        <f t="shared" si="12"/>
        <v>83290</v>
      </c>
      <c r="E160" s="28">
        <f t="shared" si="11"/>
        <v>6.9055001906909649E-2</v>
      </c>
      <c r="F160" s="21" t="s">
        <v>278</v>
      </c>
      <c r="G160" s="105" t="s">
        <v>222</v>
      </c>
      <c r="H160" s="21" t="s">
        <v>63</v>
      </c>
      <c r="I160" s="21" t="s">
        <v>199</v>
      </c>
      <c r="J160" s="154"/>
    </row>
    <row r="161" spans="1:10">
      <c r="A161" s="26" t="s">
        <v>148</v>
      </c>
      <c r="B161" s="27">
        <v>4958344</v>
      </c>
      <c r="C161" s="27">
        <v>4710762</v>
      </c>
      <c r="D161" s="27">
        <f t="shared" si="12"/>
        <v>247582</v>
      </c>
      <c r="E161" s="28">
        <f t="shared" si="11"/>
        <v>5.2556677667010138E-2</v>
      </c>
      <c r="F161" s="21" t="s">
        <v>279</v>
      </c>
      <c r="G161" s="105" t="s">
        <v>222</v>
      </c>
      <c r="H161" s="21" t="s">
        <v>89</v>
      </c>
      <c r="I161" s="21" t="s">
        <v>280</v>
      </c>
      <c r="J161" s="154"/>
    </row>
    <row r="162" spans="1:10">
      <c r="A162" s="26" t="s">
        <v>148</v>
      </c>
      <c r="B162" s="27">
        <v>3891200</v>
      </c>
      <c r="C162" s="27">
        <v>3672200</v>
      </c>
      <c r="D162" s="27">
        <f t="shared" si="12"/>
        <v>219000</v>
      </c>
      <c r="E162" s="28">
        <f t="shared" si="11"/>
        <v>5.9637274658243013E-2</v>
      </c>
      <c r="F162" s="21" t="s">
        <v>281</v>
      </c>
      <c r="G162" s="105" t="s">
        <v>222</v>
      </c>
      <c r="H162" s="21" t="s">
        <v>89</v>
      </c>
      <c r="I162" s="21" t="s">
        <v>280</v>
      </c>
      <c r="J162" s="154"/>
    </row>
    <row r="163" spans="1:10">
      <c r="A163" s="26" t="s">
        <v>228</v>
      </c>
      <c r="B163" s="27">
        <v>1488659.58</v>
      </c>
      <c r="C163" s="27">
        <v>1399178</v>
      </c>
      <c r="D163" s="27">
        <f t="shared" si="12"/>
        <v>89481.580000000075</v>
      </c>
      <c r="E163" s="28">
        <f t="shared" si="11"/>
        <v>6.3952963811609448E-2</v>
      </c>
      <c r="F163" s="21" t="s">
        <v>282</v>
      </c>
      <c r="G163" s="105" t="s">
        <v>222</v>
      </c>
      <c r="H163" s="21" t="s">
        <v>241</v>
      </c>
      <c r="I163" s="21" t="s">
        <v>242</v>
      </c>
      <c r="J163" s="154"/>
    </row>
    <row r="164" spans="1:10">
      <c r="A164" s="26" t="s">
        <v>283</v>
      </c>
      <c r="B164" s="27">
        <v>18399726.25</v>
      </c>
      <c r="C164" s="27">
        <v>13748833</v>
      </c>
      <c r="D164" s="27">
        <f t="shared" si="12"/>
        <v>4650893.25</v>
      </c>
      <c r="E164" s="28">
        <f t="shared" si="11"/>
        <v>0.33827549218177283</v>
      </c>
      <c r="F164" s="21" t="s">
        <v>284</v>
      </c>
      <c r="G164" s="105" t="s">
        <v>222</v>
      </c>
      <c r="H164" s="21" t="s">
        <v>63</v>
      </c>
      <c r="I164" s="21" t="s">
        <v>199</v>
      </c>
      <c r="J164" s="154"/>
    </row>
    <row r="165" spans="1:10">
      <c r="A165" s="26" t="s">
        <v>285</v>
      </c>
      <c r="B165" s="27">
        <v>345000</v>
      </c>
      <c r="C165" s="27">
        <v>310500</v>
      </c>
      <c r="D165" s="27">
        <f t="shared" si="12"/>
        <v>34500</v>
      </c>
      <c r="E165" s="28">
        <f t="shared" si="11"/>
        <v>0.1111111111111111</v>
      </c>
      <c r="F165" s="21" t="s">
        <v>286</v>
      </c>
      <c r="G165" s="105" t="s">
        <v>222</v>
      </c>
      <c r="H165" s="21" t="s">
        <v>38</v>
      </c>
      <c r="I165" s="21" t="s">
        <v>287</v>
      </c>
      <c r="J165" s="154"/>
    </row>
    <row r="166" spans="1:10">
      <c r="A166" s="134" t="s">
        <v>288</v>
      </c>
      <c r="B166" s="134"/>
      <c r="C166" s="134"/>
      <c r="D166" s="134"/>
      <c r="E166" s="134"/>
      <c r="F166" s="134"/>
      <c r="G166" s="134"/>
      <c r="H166" s="134"/>
      <c r="I166" s="134"/>
      <c r="J166" s="134"/>
    </row>
    <row r="167" spans="1:10">
      <c r="A167" s="26" t="s">
        <v>257</v>
      </c>
      <c r="B167" s="27">
        <v>2440772</v>
      </c>
      <c r="C167" s="27">
        <v>2325772</v>
      </c>
      <c r="D167" s="27">
        <f t="shared" si="12"/>
        <v>115000</v>
      </c>
      <c r="E167" s="28">
        <f t="shared" si="11"/>
        <v>4.9445947410150265E-2</v>
      </c>
      <c r="F167" s="21" t="s">
        <v>289</v>
      </c>
      <c r="G167" s="105" t="s">
        <v>290</v>
      </c>
      <c r="H167" s="21"/>
      <c r="I167" s="21" t="s">
        <v>291</v>
      </c>
      <c r="J167" s="124">
        <f>SUM(D167:D209)</f>
        <v>31699128.089999996</v>
      </c>
    </row>
    <row r="168" spans="1:10">
      <c r="A168" s="26" t="s">
        <v>292</v>
      </c>
      <c r="B168" s="27">
        <v>690300</v>
      </c>
      <c r="C168" s="27">
        <v>654200</v>
      </c>
      <c r="D168" s="27">
        <f t="shared" si="12"/>
        <v>36100</v>
      </c>
      <c r="E168" s="28">
        <f t="shared" si="11"/>
        <v>5.518190155915622E-2</v>
      </c>
      <c r="F168" s="21" t="s">
        <v>293</v>
      </c>
      <c r="G168" s="105" t="s">
        <v>290</v>
      </c>
      <c r="H168" s="21" t="s">
        <v>294</v>
      </c>
      <c r="I168" s="21" t="s">
        <v>294</v>
      </c>
      <c r="J168" s="124"/>
    </row>
    <row r="169" spans="1:10">
      <c r="A169" s="26" t="s">
        <v>295</v>
      </c>
      <c r="B169" s="27">
        <v>2475000</v>
      </c>
      <c r="C169" s="27">
        <v>2320000</v>
      </c>
      <c r="D169" s="27">
        <f t="shared" si="12"/>
        <v>155000</v>
      </c>
      <c r="E169" s="28">
        <f t="shared" si="11"/>
        <v>6.6810344827586202E-2</v>
      </c>
      <c r="F169" s="21" t="s">
        <v>296</v>
      </c>
      <c r="G169" s="105" t="s">
        <v>290</v>
      </c>
      <c r="H169" s="21" t="s">
        <v>297</v>
      </c>
      <c r="I169" s="21" t="s">
        <v>298</v>
      </c>
      <c r="J169" s="124"/>
    </row>
    <row r="170" spans="1:10">
      <c r="A170" s="26" t="s">
        <v>299</v>
      </c>
      <c r="B170" s="27">
        <v>2764600</v>
      </c>
      <c r="C170" s="27">
        <v>2299200</v>
      </c>
      <c r="D170" s="27">
        <f t="shared" si="12"/>
        <v>465400</v>
      </c>
      <c r="E170" s="28">
        <f t="shared" si="11"/>
        <v>0.20241823242867085</v>
      </c>
      <c r="F170" s="21" t="s">
        <v>300</v>
      </c>
      <c r="G170" s="105" t="s">
        <v>290</v>
      </c>
      <c r="H170" s="21" t="s">
        <v>297</v>
      </c>
      <c r="I170" s="21" t="s">
        <v>301</v>
      </c>
      <c r="J170" s="124"/>
    </row>
    <row r="171" spans="1:10">
      <c r="A171" s="26" t="s">
        <v>302</v>
      </c>
      <c r="B171" s="27">
        <v>15210000</v>
      </c>
      <c r="C171" s="27">
        <v>11300000</v>
      </c>
      <c r="D171" s="27">
        <f t="shared" si="12"/>
        <v>3910000</v>
      </c>
      <c r="E171" s="28">
        <f t="shared" si="11"/>
        <v>0.34601769911504426</v>
      </c>
      <c r="F171" s="21" t="s">
        <v>303</v>
      </c>
      <c r="G171" s="105" t="s">
        <v>290</v>
      </c>
      <c r="H171" s="21" t="s">
        <v>30</v>
      </c>
      <c r="I171" s="21" t="s">
        <v>304</v>
      </c>
      <c r="J171" s="124"/>
    </row>
    <row r="172" spans="1:10">
      <c r="A172" s="26" t="s">
        <v>148</v>
      </c>
      <c r="B172" s="27">
        <v>6026702</v>
      </c>
      <c r="C172" s="27">
        <v>5226702</v>
      </c>
      <c r="D172" s="27">
        <f t="shared" si="12"/>
        <v>800000</v>
      </c>
      <c r="E172" s="28">
        <f t="shared" si="11"/>
        <v>0.15306018977167629</v>
      </c>
      <c r="F172" s="21" t="s">
        <v>305</v>
      </c>
      <c r="G172" s="105" t="s">
        <v>290</v>
      </c>
      <c r="H172" s="21" t="s">
        <v>268</v>
      </c>
      <c r="I172" s="21" t="s">
        <v>124</v>
      </c>
      <c r="J172" s="124"/>
    </row>
    <row r="173" spans="1:10">
      <c r="A173" s="26" t="s">
        <v>306</v>
      </c>
      <c r="B173" s="27">
        <v>559200</v>
      </c>
      <c r="C173" s="27">
        <v>518340</v>
      </c>
      <c r="D173" s="27">
        <f t="shared" si="12"/>
        <v>40860</v>
      </c>
      <c r="E173" s="28">
        <f t="shared" si="11"/>
        <v>7.8828568121310338E-2</v>
      </c>
      <c r="F173" s="21" t="s">
        <v>307</v>
      </c>
      <c r="G173" s="105" t="s">
        <v>290</v>
      </c>
      <c r="H173" s="21" t="s">
        <v>38</v>
      </c>
      <c r="I173" s="21"/>
      <c r="J173" s="124"/>
    </row>
    <row r="174" spans="1:10">
      <c r="A174" s="26" t="s">
        <v>308</v>
      </c>
      <c r="B174" s="27">
        <v>1078000</v>
      </c>
      <c r="C174" s="27">
        <v>998000</v>
      </c>
      <c r="D174" s="27">
        <f t="shared" si="12"/>
        <v>80000</v>
      </c>
      <c r="E174" s="28">
        <f t="shared" si="11"/>
        <v>8.0160320641282562E-2</v>
      </c>
      <c r="F174" s="21" t="s">
        <v>309</v>
      </c>
      <c r="G174" s="105" t="s">
        <v>290</v>
      </c>
      <c r="H174" s="21" t="s">
        <v>89</v>
      </c>
      <c r="I174" s="21" t="s">
        <v>310</v>
      </c>
      <c r="J174" s="124"/>
    </row>
    <row r="175" spans="1:10">
      <c r="A175" s="26" t="s">
        <v>308</v>
      </c>
      <c r="B175" s="27">
        <v>1078000</v>
      </c>
      <c r="C175" s="27">
        <v>998000</v>
      </c>
      <c r="D175" s="27">
        <f t="shared" si="12"/>
        <v>80000</v>
      </c>
      <c r="E175" s="28">
        <f t="shared" si="11"/>
        <v>8.0160320641282562E-2</v>
      </c>
      <c r="F175" s="21" t="s">
        <v>311</v>
      </c>
      <c r="G175" s="105" t="s">
        <v>290</v>
      </c>
      <c r="H175" s="21" t="s">
        <v>89</v>
      </c>
      <c r="I175" s="21" t="s">
        <v>310</v>
      </c>
      <c r="J175" s="124"/>
    </row>
    <row r="176" spans="1:10">
      <c r="A176" s="26" t="s">
        <v>312</v>
      </c>
      <c r="B176" s="27">
        <v>108400000</v>
      </c>
      <c r="C176" s="27">
        <v>98800000</v>
      </c>
      <c r="D176" s="27">
        <f t="shared" si="12"/>
        <v>9600000</v>
      </c>
      <c r="E176" s="28">
        <f t="shared" si="11"/>
        <v>9.7165991902834009E-2</v>
      </c>
      <c r="F176" s="21" t="s">
        <v>313</v>
      </c>
      <c r="G176" s="105" t="s">
        <v>290</v>
      </c>
      <c r="H176" s="21" t="s">
        <v>38</v>
      </c>
      <c r="I176" s="21"/>
      <c r="J176" s="124"/>
    </row>
    <row r="177" spans="1:10">
      <c r="A177" s="26" t="s">
        <v>312</v>
      </c>
      <c r="B177" s="27">
        <v>50500000</v>
      </c>
      <c r="C177" s="27">
        <v>47190000</v>
      </c>
      <c r="D177" s="27">
        <f t="shared" si="12"/>
        <v>3310000</v>
      </c>
      <c r="E177" s="28">
        <f t="shared" si="11"/>
        <v>7.0141979232888327E-2</v>
      </c>
      <c r="F177" s="21" t="s">
        <v>314</v>
      </c>
      <c r="G177" s="105" t="s">
        <v>290</v>
      </c>
      <c r="H177" s="21" t="s">
        <v>38</v>
      </c>
      <c r="I177" s="21" t="s">
        <v>315</v>
      </c>
      <c r="J177" s="124"/>
    </row>
    <row r="178" spans="1:10">
      <c r="A178" s="26" t="s">
        <v>213</v>
      </c>
      <c r="B178" s="27">
        <v>1545900</v>
      </c>
      <c r="C178" s="27">
        <v>1405200</v>
      </c>
      <c r="D178" s="27">
        <f t="shared" si="12"/>
        <v>140700</v>
      </c>
      <c r="E178" s="28">
        <f t="shared" si="11"/>
        <v>0.10012809564474807</v>
      </c>
      <c r="F178" s="21" t="s">
        <v>316</v>
      </c>
      <c r="G178" s="105" t="s">
        <v>290</v>
      </c>
      <c r="H178" s="21" t="s">
        <v>63</v>
      </c>
      <c r="I178" s="21" t="s">
        <v>317</v>
      </c>
      <c r="J178" s="124"/>
    </row>
    <row r="179" spans="1:10">
      <c r="A179" s="26" t="s">
        <v>213</v>
      </c>
      <c r="B179" s="27">
        <v>2253600</v>
      </c>
      <c r="C179" s="27">
        <v>2146300</v>
      </c>
      <c r="D179" s="27">
        <f t="shared" si="12"/>
        <v>107300</v>
      </c>
      <c r="E179" s="28">
        <f t="shared" si="11"/>
        <v>4.9993011228626011E-2</v>
      </c>
      <c r="F179" s="21" t="s">
        <v>316</v>
      </c>
      <c r="G179" s="105" t="s">
        <v>290</v>
      </c>
      <c r="H179" s="21" t="s">
        <v>63</v>
      </c>
      <c r="I179" s="21" t="s">
        <v>317</v>
      </c>
      <c r="J179" s="124"/>
    </row>
    <row r="180" spans="1:10">
      <c r="A180" s="26" t="s">
        <v>213</v>
      </c>
      <c r="B180" s="27">
        <v>1589700</v>
      </c>
      <c r="C180" s="27">
        <v>1514000</v>
      </c>
      <c r="D180" s="27">
        <f t="shared" si="12"/>
        <v>75700</v>
      </c>
      <c r="E180" s="28">
        <f t="shared" si="11"/>
        <v>0.05</v>
      </c>
      <c r="F180" s="21" t="s">
        <v>316</v>
      </c>
      <c r="G180" s="105" t="s">
        <v>290</v>
      </c>
      <c r="H180" s="21" t="s">
        <v>63</v>
      </c>
      <c r="I180" s="21" t="s">
        <v>317</v>
      </c>
      <c r="J180" s="124"/>
    </row>
    <row r="181" spans="1:10">
      <c r="A181" s="26" t="s">
        <v>213</v>
      </c>
      <c r="B181" s="27">
        <v>5987500</v>
      </c>
      <c r="C181" s="27">
        <v>5702000</v>
      </c>
      <c r="D181" s="27">
        <f t="shared" si="12"/>
        <v>285500</v>
      </c>
      <c r="E181" s="28">
        <f t="shared" si="11"/>
        <v>5.0070150824272186E-2</v>
      </c>
      <c r="F181" s="21" t="s">
        <v>316</v>
      </c>
      <c r="G181" s="105" t="s">
        <v>290</v>
      </c>
      <c r="H181" s="21" t="s">
        <v>63</v>
      </c>
      <c r="I181" s="21" t="s">
        <v>317</v>
      </c>
      <c r="J181" s="124"/>
    </row>
    <row r="182" spans="1:10">
      <c r="A182" s="26" t="s">
        <v>318</v>
      </c>
      <c r="B182" s="27">
        <v>550000</v>
      </c>
      <c r="C182" s="27">
        <v>445500</v>
      </c>
      <c r="D182" s="27">
        <f t="shared" si="12"/>
        <v>104500</v>
      </c>
      <c r="E182" s="28">
        <f t="shared" si="11"/>
        <v>0.23456790123456789</v>
      </c>
      <c r="F182" s="21" t="s">
        <v>319</v>
      </c>
      <c r="G182" s="105" t="s">
        <v>290</v>
      </c>
      <c r="H182" s="21" t="s">
        <v>89</v>
      </c>
      <c r="I182" s="21" t="s">
        <v>320</v>
      </c>
      <c r="J182" s="124"/>
    </row>
    <row r="183" spans="1:10">
      <c r="A183" s="26" t="s">
        <v>321</v>
      </c>
      <c r="B183" s="27">
        <v>502950</v>
      </c>
      <c r="C183" s="27">
        <v>452655</v>
      </c>
      <c r="D183" s="27">
        <f t="shared" si="12"/>
        <v>50295</v>
      </c>
      <c r="E183" s="28">
        <f t="shared" si="11"/>
        <v>0.1111111111111111</v>
      </c>
      <c r="F183" s="21" t="s">
        <v>322</v>
      </c>
      <c r="G183" s="105" t="s">
        <v>290</v>
      </c>
      <c r="H183" s="21" t="s">
        <v>63</v>
      </c>
      <c r="I183" s="21"/>
      <c r="J183" s="124"/>
    </row>
    <row r="184" spans="1:10">
      <c r="A184" s="26" t="s">
        <v>323</v>
      </c>
      <c r="B184" s="27">
        <v>2112605</v>
      </c>
      <c r="C184" s="27">
        <v>1795714.25</v>
      </c>
      <c r="D184" s="27">
        <f t="shared" si="12"/>
        <v>316890.75</v>
      </c>
      <c r="E184" s="28">
        <f t="shared" si="11"/>
        <v>0.17647058823529413</v>
      </c>
      <c r="F184" s="21" t="s">
        <v>324</v>
      </c>
      <c r="G184" s="105" t="s">
        <v>290</v>
      </c>
      <c r="H184" s="21" t="s">
        <v>325</v>
      </c>
      <c r="I184" s="21"/>
      <c r="J184" s="124"/>
    </row>
    <row r="185" spans="1:10">
      <c r="A185" s="26" t="s">
        <v>148</v>
      </c>
      <c r="B185" s="27">
        <v>1039590</v>
      </c>
      <c r="C185" s="27">
        <v>943392</v>
      </c>
      <c r="D185" s="27">
        <f t="shared" si="12"/>
        <v>96198</v>
      </c>
      <c r="E185" s="28">
        <f t="shared" si="11"/>
        <v>0.10197033682710899</v>
      </c>
      <c r="F185" s="21" t="s">
        <v>326</v>
      </c>
      <c r="G185" s="105" t="s">
        <v>290</v>
      </c>
      <c r="H185" s="21" t="s">
        <v>325</v>
      </c>
      <c r="I185" s="21" t="s">
        <v>317</v>
      </c>
      <c r="J185" s="124"/>
    </row>
    <row r="186" spans="1:10">
      <c r="A186" s="26" t="s">
        <v>22</v>
      </c>
      <c r="B186" s="27">
        <v>2123150</v>
      </c>
      <c r="C186" s="27">
        <v>1886018</v>
      </c>
      <c r="D186" s="27">
        <f t="shared" si="12"/>
        <v>237132</v>
      </c>
      <c r="E186" s="28">
        <f t="shared" si="11"/>
        <v>0.12573156777931069</v>
      </c>
      <c r="F186" s="21" t="s">
        <v>327</v>
      </c>
      <c r="G186" s="105" t="s">
        <v>290</v>
      </c>
      <c r="H186" s="21" t="s">
        <v>241</v>
      </c>
      <c r="I186" s="21"/>
      <c r="J186" s="124"/>
    </row>
    <row r="187" spans="1:10">
      <c r="A187" s="26" t="s">
        <v>328</v>
      </c>
      <c r="B187" s="27">
        <v>3182240</v>
      </c>
      <c r="C187" s="27">
        <v>2058500</v>
      </c>
      <c r="D187" s="27">
        <f t="shared" si="12"/>
        <v>1123740</v>
      </c>
      <c r="E187" s="28">
        <f t="shared" si="11"/>
        <v>0.54590235608452753</v>
      </c>
      <c r="F187" s="21" t="s">
        <v>329</v>
      </c>
      <c r="G187" s="105" t="s">
        <v>290</v>
      </c>
      <c r="H187" s="21" t="s">
        <v>330</v>
      </c>
      <c r="I187" s="21" t="s">
        <v>331</v>
      </c>
      <c r="J187" s="124"/>
    </row>
    <row r="188" spans="1:10">
      <c r="A188" s="26" t="s">
        <v>332</v>
      </c>
      <c r="B188" s="27">
        <v>1501500</v>
      </c>
      <c r="C188" s="27">
        <v>1407250</v>
      </c>
      <c r="D188" s="27">
        <f t="shared" si="12"/>
        <v>94250</v>
      </c>
      <c r="E188" s="28">
        <f t="shared" si="11"/>
        <v>6.6974595842956119E-2</v>
      </c>
      <c r="F188" s="21" t="s">
        <v>333</v>
      </c>
      <c r="G188" s="105" t="s">
        <v>290</v>
      </c>
      <c r="H188" s="21" t="s">
        <v>334</v>
      </c>
      <c r="I188" s="21" t="s">
        <v>335</v>
      </c>
      <c r="J188" s="124"/>
    </row>
    <row r="189" spans="1:10">
      <c r="A189" s="26" t="s">
        <v>336</v>
      </c>
      <c r="B189" s="27">
        <v>440000</v>
      </c>
      <c r="C189" s="27">
        <v>400000</v>
      </c>
      <c r="D189" s="27">
        <f t="shared" si="12"/>
        <v>40000</v>
      </c>
      <c r="E189" s="28">
        <f t="shared" si="11"/>
        <v>0.1</v>
      </c>
      <c r="F189" s="21" t="s">
        <v>337</v>
      </c>
      <c r="G189" s="105" t="s">
        <v>290</v>
      </c>
      <c r="H189" s="21" t="s">
        <v>338</v>
      </c>
      <c r="I189" s="21" t="s">
        <v>335</v>
      </c>
      <c r="J189" s="124"/>
    </row>
    <row r="190" spans="1:10">
      <c r="A190" s="26" t="s">
        <v>339</v>
      </c>
      <c r="B190" s="27">
        <v>29000</v>
      </c>
      <c r="C190" s="27">
        <v>18600</v>
      </c>
      <c r="D190" s="27">
        <f t="shared" si="12"/>
        <v>10400</v>
      </c>
      <c r="E190" s="28">
        <f t="shared" si="11"/>
        <v>0.55913978494623651</v>
      </c>
      <c r="F190" s="21" t="s">
        <v>340</v>
      </c>
      <c r="G190" s="105" t="s">
        <v>290</v>
      </c>
      <c r="H190" s="21" t="s">
        <v>330</v>
      </c>
      <c r="I190" s="21" t="s">
        <v>341</v>
      </c>
      <c r="J190" s="124"/>
    </row>
    <row r="191" spans="1:10">
      <c r="A191" s="26" t="s">
        <v>342</v>
      </c>
      <c r="B191" s="27">
        <v>1122684.5900000001</v>
      </c>
      <c r="C191" s="27">
        <v>434365.81</v>
      </c>
      <c r="D191" s="27">
        <f t="shared" si="12"/>
        <v>688318.78</v>
      </c>
      <c r="E191" s="28">
        <f t="shared" si="11"/>
        <v>1.5846523003272288</v>
      </c>
      <c r="F191" s="21" t="s">
        <v>343</v>
      </c>
      <c r="G191" s="105" t="s">
        <v>290</v>
      </c>
      <c r="H191" s="21" t="s">
        <v>241</v>
      </c>
      <c r="I191" s="21"/>
      <c r="J191" s="124"/>
    </row>
    <row r="192" spans="1:10">
      <c r="A192" s="26" t="s">
        <v>342</v>
      </c>
      <c r="B192" s="27">
        <v>1122684.5900000001</v>
      </c>
      <c r="C192" s="27">
        <v>434365.81</v>
      </c>
      <c r="D192" s="27">
        <f t="shared" si="12"/>
        <v>688318.78</v>
      </c>
      <c r="E192" s="28">
        <f t="shared" ref="E192:E198" si="13">(B192-C192)/C192</f>
        <v>1.5846523003272288</v>
      </c>
      <c r="F192" s="21" t="s">
        <v>344</v>
      </c>
      <c r="G192" s="105" t="s">
        <v>290</v>
      </c>
      <c r="H192" s="21" t="s">
        <v>241</v>
      </c>
      <c r="I192" s="21"/>
      <c r="J192" s="124"/>
    </row>
    <row r="193" spans="1:10">
      <c r="A193" s="26" t="s">
        <v>260</v>
      </c>
      <c r="B193" s="27">
        <v>375000</v>
      </c>
      <c r="C193" s="27">
        <v>337500</v>
      </c>
      <c r="D193" s="27">
        <f t="shared" si="12"/>
        <v>37500</v>
      </c>
      <c r="E193" s="28">
        <f t="shared" si="13"/>
        <v>0.1111111111111111</v>
      </c>
      <c r="F193" s="21" t="s">
        <v>345</v>
      </c>
      <c r="G193" s="105" t="s">
        <v>290</v>
      </c>
      <c r="H193" s="21" t="s">
        <v>30</v>
      </c>
      <c r="I193" s="21" t="s">
        <v>310</v>
      </c>
      <c r="J193" s="124"/>
    </row>
    <row r="194" spans="1:10">
      <c r="A194" s="26" t="s">
        <v>346</v>
      </c>
      <c r="B194" s="27">
        <v>1430000</v>
      </c>
      <c r="C194" s="27">
        <v>1280000</v>
      </c>
      <c r="D194" s="27">
        <f t="shared" ref="D194:D258" si="14">B194-C194</f>
        <v>150000</v>
      </c>
      <c r="E194" s="28">
        <f t="shared" si="13"/>
        <v>0.1171875</v>
      </c>
      <c r="F194" s="21" t="s">
        <v>347</v>
      </c>
      <c r="G194" s="105" t="s">
        <v>290</v>
      </c>
      <c r="H194" s="21" t="s">
        <v>348</v>
      </c>
      <c r="I194" s="21" t="s">
        <v>349</v>
      </c>
      <c r="J194" s="124"/>
    </row>
    <row r="195" spans="1:10">
      <c r="A195" s="26" t="s">
        <v>350</v>
      </c>
      <c r="B195" s="27">
        <v>3060000</v>
      </c>
      <c r="C195" s="27">
        <v>2227500</v>
      </c>
      <c r="D195" s="27">
        <f t="shared" si="14"/>
        <v>832500</v>
      </c>
      <c r="E195" s="28">
        <f t="shared" si="13"/>
        <v>0.37373737373737376</v>
      </c>
      <c r="F195" s="21" t="s">
        <v>351</v>
      </c>
      <c r="G195" s="105" t="s">
        <v>290</v>
      </c>
      <c r="H195" s="21" t="s">
        <v>352</v>
      </c>
      <c r="I195" s="21" t="s">
        <v>353</v>
      </c>
      <c r="J195" s="124"/>
    </row>
    <row r="196" spans="1:10">
      <c r="A196" s="26" t="s">
        <v>354</v>
      </c>
      <c r="B196" s="27">
        <v>824800</v>
      </c>
      <c r="C196" s="27">
        <v>742320</v>
      </c>
      <c r="D196" s="27">
        <f t="shared" si="14"/>
        <v>82480</v>
      </c>
      <c r="E196" s="28">
        <f t="shared" si="13"/>
        <v>0.1111111111111111</v>
      </c>
      <c r="F196" s="21" t="s">
        <v>355</v>
      </c>
      <c r="G196" s="105" t="s">
        <v>290</v>
      </c>
      <c r="H196" s="21" t="s">
        <v>38</v>
      </c>
      <c r="I196" s="21" t="s">
        <v>356</v>
      </c>
      <c r="J196" s="124"/>
    </row>
    <row r="197" spans="1:10">
      <c r="A197" s="26" t="s">
        <v>354</v>
      </c>
      <c r="B197" s="27">
        <v>1530600</v>
      </c>
      <c r="C197" s="27">
        <v>1377540</v>
      </c>
      <c r="D197" s="27">
        <f t="shared" si="14"/>
        <v>153060</v>
      </c>
      <c r="E197" s="28">
        <f t="shared" si="13"/>
        <v>0.1111111111111111</v>
      </c>
      <c r="F197" s="21" t="s">
        <v>357</v>
      </c>
      <c r="G197" s="105" t="s">
        <v>290</v>
      </c>
      <c r="H197" s="21" t="s">
        <v>38</v>
      </c>
      <c r="I197" s="21" t="s">
        <v>358</v>
      </c>
      <c r="J197" s="124"/>
    </row>
    <row r="198" spans="1:10">
      <c r="A198" s="26" t="s">
        <v>354</v>
      </c>
      <c r="B198" s="27">
        <v>143000</v>
      </c>
      <c r="C198" s="27">
        <v>128700</v>
      </c>
      <c r="D198" s="27">
        <f t="shared" si="14"/>
        <v>14300</v>
      </c>
      <c r="E198" s="28">
        <f t="shared" si="13"/>
        <v>0.1111111111111111</v>
      </c>
      <c r="F198" s="21" t="s">
        <v>359</v>
      </c>
      <c r="G198" s="105" t="s">
        <v>290</v>
      </c>
      <c r="H198" s="21" t="s">
        <v>38</v>
      </c>
      <c r="I198" s="21" t="s">
        <v>360</v>
      </c>
      <c r="J198" s="124"/>
    </row>
    <row r="199" spans="1:10">
      <c r="A199" s="26" t="s">
        <v>361</v>
      </c>
      <c r="B199" s="27">
        <v>898026.05</v>
      </c>
      <c r="C199" s="27">
        <v>738997.71</v>
      </c>
      <c r="D199" s="27">
        <f t="shared" si="14"/>
        <v>159028.34000000008</v>
      </c>
      <c r="E199" s="28">
        <f t="shared" ref="E199:E256" si="15">(B199-C199)/C199</f>
        <v>0.21519463165860162</v>
      </c>
      <c r="F199" s="21" t="s">
        <v>362</v>
      </c>
      <c r="G199" s="105" t="s">
        <v>290</v>
      </c>
      <c r="H199" s="21" t="s">
        <v>30</v>
      </c>
      <c r="I199" s="21" t="s">
        <v>31</v>
      </c>
      <c r="J199" s="124"/>
    </row>
    <row r="200" spans="1:10">
      <c r="A200" s="26" t="s">
        <v>363</v>
      </c>
      <c r="B200" s="27">
        <v>7192000</v>
      </c>
      <c r="C200" s="27">
        <v>6103000</v>
      </c>
      <c r="D200" s="27">
        <f t="shared" si="14"/>
        <v>1089000</v>
      </c>
      <c r="E200" s="28">
        <f t="shared" si="15"/>
        <v>0.17843683434376537</v>
      </c>
      <c r="F200" s="21" t="s">
        <v>364</v>
      </c>
      <c r="G200" s="105" t="s">
        <v>290</v>
      </c>
      <c r="H200" s="21" t="s">
        <v>365</v>
      </c>
      <c r="I200" s="21"/>
      <c r="J200" s="124"/>
    </row>
    <row r="201" spans="1:10">
      <c r="A201" s="26" t="s">
        <v>50</v>
      </c>
      <c r="B201" s="27">
        <v>1672967.18</v>
      </c>
      <c r="C201" s="27">
        <v>1601494.76</v>
      </c>
      <c r="D201" s="27">
        <f t="shared" si="14"/>
        <v>71472.419999999925</v>
      </c>
      <c r="E201" s="28">
        <f t="shared" si="15"/>
        <v>4.4628569374775801E-2</v>
      </c>
      <c r="F201" s="21" t="s">
        <v>366</v>
      </c>
      <c r="G201" s="105" t="s">
        <v>290</v>
      </c>
      <c r="H201" s="21" t="s">
        <v>30</v>
      </c>
      <c r="I201" s="21" t="s">
        <v>31</v>
      </c>
      <c r="J201" s="124"/>
    </row>
    <row r="202" spans="1:10">
      <c r="A202" s="26" t="s">
        <v>367</v>
      </c>
      <c r="B202" s="27">
        <v>7799000</v>
      </c>
      <c r="C202" s="27">
        <v>6629150</v>
      </c>
      <c r="D202" s="27">
        <f t="shared" si="14"/>
        <v>1169850</v>
      </c>
      <c r="E202" s="28">
        <f t="shared" si="15"/>
        <v>0.17647058823529413</v>
      </c>
      <c r="F202" s="21" t="s">
        <v>368</v>
      </c>
      <c r="G202" s="105" t="s">
        <v>290</v>
      </c>
      <c r="H202" s="21" t="s">
        <v>369</v>
      </c>
      <c r="I202" s="21" t="s">
        <v>370</v>
      </c>
      <c r="J202" s="124"/>
    </row>
    <row r="203" spans="1:10">
      <c r="A203" s="26" t="s">
        <v>354</v>
      </c>
      <c r="B203" s="27">
        <v>824800</v>
      </c>
      <c r="C203" s="27">
        <v>742320</v>
      </c>
      <c r="D203" s="27">
        <f t="shared" si="14"/>
        <v>82480</v>
      </c>
      <c r="E203" s="28">
        <f t="shared" si="15"/>
        <v>0.1111111111111111</v>
      </c>
      <c r="F203" s="21" t="s">
        <v>371</v>
      </c>
      <c r="G203" s="105" t="s">
        <v>290</v>
      </c>
      <c r="H203" s="21" t="s">
        <v>38</v>
      </c>
      <c r="I203" s="21" t="s">
        <v>372</v>
      </c>
      <c r="J203" s="124"/>
    </row>
    <row r="204" spans="1:10">
      <c r="A204" s="26" t="s">
        <v>354</v>
      </c>
      <c r="B204" s="27">
        <v>1530600</v>
      </c>
      <c r="C204" s="27">
        <v>1377540</v>
      </c>
      <c r="D204" s="27">
        <f t="shared" si="14"/>
        <v>153060</v>
      </c>
      <c r="E204" s="28">
        <f t="shared" si="15"/>
        <v>0.1111111111111111</v>
      </c>
      <c r="F204" s="21" t="s">
        <v>371</v>
      </c>
      <c r="G204" s="105" t="s">
        <v>290</v>
      </c>
      <c r="H204" s="21" t="s">
        <v>38</v>
      </c>
      <c r="I204" s="21" t="s">
        <v>373</v>
      </c>
      <c r="J204" s="124"/>
    </row>
    <row r="205" spans="1:10">
      <c r="A205" s="26" t="s">
        <v>354</v>
      </c>
      <c r="B205" s="27">
        <v>143000</v>
      </c>
      <c r="C205" s="27">
        <v>128700</v>
      </c>
      <c r="D205" s="27">
        <f t="shared" si="14"/>
        <v>14300</v>
      </c>
      <c r="E205" s="28">
        <f t="shared" si="15"/>
        <v>0.1111111111111111</v>
      </c>
      <c r="F205" s="21" t="s">
        <v>359</v>
      </c>
      <c r="G205" s="105" t="s">
        <v>290</v>
      </c>
      <c r="H205" s="21" t="s">
        <v>38</v>
      </c>
      <c r="I205" s="21" t="s">
        <v>360</v>
      </c>
      <c r="J205" s="124"/>
    </row>
    <row r="206" spans="1:10">
      <c r="A206" s="26" t="s">
        <v>374</v>
      </c>
      <c r="B206" s="27">
        <v>920000</v>
      </c>
      <c r="C206" s="27">
        <v>828008.1</v>
      </c>
      <c r="D206" s="27">
        <f t="shared" si="14"/>
        <v>91991.900000000023</v>
      </c>
      <c r="E206" s="28">
        <f t="shared" si="15"/>
        <v>0.11110024165222541</v>
      </c>
      <c r="F206" s="21" t="s">
        <v>375</v>
      </c>
      <c r="G206" s="105" t="s">
        <v>290</v>
      </c>
      <c r="H206" s="21" t="s">
        <v>234</v>
      </c>
      <c r="I206" s="21"/>
      <c r="J206" s="124"/>
    </row>
    <row r="207" spans="1:10">
      <c r="A207" s="26" t="s">
        <v>376</v>
      </c>
      <c r="B207" s="27">
        <v>39745960</v>
      </c>
      <c r="C207" s="27">
        <v>35712457.880000003</v>
      </c>
      <c r="D207" s="27">
        <f t="shared" si="14"/>
        <v>4033502.1199999973</v>
      </c>
      <c r="E207" s="28">
        <f t="shared" si="15"/>
        <v>0.11294383975343444</v>
      </c>
      <c r="F207" s="21" t="s">
        <v>377</v>
      </c>
      <c r="G207" s="105" t="s">
        <v>290</v>
      </c>
      <c r="H207" s="21" t="s">
        <v>38</v>
      </c>
      <c r="I207" s="21"/>
      <c r="J207" s="124"/>
    </row>
    <row r="208" spans="1:10">
      <c r="A208" s="26" t="s">
        <v>378</v>
      </c>
      <c r="B208" s="27">
        <v>673000</v>
      </c>
      <c r="C208" s="27">
        <v>600000</v>
      </c>
      <c r="D208" s="27">
        <f t="shared" si="14"/>
        <v>73000</v>
      </c>
      <c r="E208" s="28">
        <f t="shared" si="15"/>
        <v>0.12166666666666667</v>
      </c>
      <c r="F208" s="21" t="s">
        <v>379</v>
      </c>
      <c r="G208" s="105" t="s">
        <v>290</v>
      </c>
      <c r="H208" s="21" t="s">
        <v>380</v>
      </c>
      <c r="I208" s="21" t="s">
        <v>381</v>
      </c>
      <c r="J208" s="124"/>
    </row>
    <row r="209" spans="1:10">
      <c r="A209" s="26" t="s">
        <v>336</v>
      </c>
      <c r="B209" s="27">
        <v>8400000</v>
      </c>
      <c r="C209" s="27">
        <v>7560000</v>
      </c>
      <c r="D209" s="27">
        <f t="shared" si="14"/>
        <v>840000</v>
      </c>
      <c r="E209" s="28">
        <f t="shared" si="15"/>
        <v>0.1111111111111111</v>
      </c>
      <c r="F209" s="21" t="s">
        <v>382</v>
      </c>
      <c r="G209" s="105" t="s">
        <v>290</v>
      </c>
      <c r="H209" s="21" t="s">
        <v>383</v>
      </c>
      <c r="I209" s="21" t="s">
        <v>384</v>
      </c>
      <c r="J209" s="124"/>
    </row>
    <row r="210" spans="1:10">
      <c r="A210" s="134" t="s">
        <v>385</v>
      </c>
      <c r="B210" s="134"/>
      <c r="C210" s="134"/>
      <c r="D210" s="134"/>
      <c r="E210" s="134"/>
      <c r="F210" s="134"/>
      <c r="G210" s="134"/>
      <c r="H210" s="134"/>
      <c r="I210" s="134"/>
      <c r="J210" s="134"/>
    </row>
    <row r="211" spans="1:10">
      <c r="A211" s="26" t="s">
        <v>386</v>
      </c>
      <c r="B211" s="27">
        <v>296283</v>
      </c>
      <c r="C211" s="27">
        <v>282172</v>
      </c>
      <c r="D211" s="27">
        <f t="shared" ref="D211" si="16">B211-C211</f>
        <v>14111</v>
      </c>
      <c r="E211" s="28">
        <f t="shared" ref="E211" si="17">(B211-C211)/C211</f>
        <v>5.0008505450576245E-2</v>
      </c>
      <c r="F211" s="21" t="s">
        <v>387</v>
      </c>
      <c r="G211" s="106" t="s">
        <v>388</v>
      </c>
      <c r="H211" s="21" t="s">
        <v>38</v>
      </c>
      <c r="I211" s="21"/>
      <c r="J211" s="124">
        <f>SUM(D211:D228)</f>
        <v>12471746.67</v>
      </c>
    </row>
    <row r="212" spans="1:10">
      <c r="A212" s="26" t="s">
        <v>389</v>
      </c>
      <c r="B212" s="27">
        <v>3747000</v>
      </c>
      <c r="C212" s="27">
        <v>3510000</v>
      </c>
      <c r="D212" s="27">
        <f t="shared" si="14"/>
        <v>237000</v>
      </c>
      <c r="E212" s="28">
        <f t="shared" si="15"/>
        <v>6.7521367521367517E-2</v>
      </c>
      <c r="F212" s="21" t="s">
        <v>390</v>
      </c>
      <c r="G212" s="106" t="s">
        <v>388</v>
      </c>
      <c r="H212" s="21" t="s">
        <v>391</v>
      </c>
      <c r="I212" s="21" t="s">
        <v>392</v>
      </c>
      <c r="J212" s="124"/>
    </row>
    <row r="213" spans="1:10">
      <c r="A213" s="26" t="s">
        <v>393</v>
      </c>
      <c r="B213" s="27">
        <v>54458292.57</v>
      </c>
      <c r="C213" s="27">
        <v>48841518</v>
      </c>
      <c r="D213" s="27">
        <f t="shared" si="14"/>
        <v>5616774.5700000003</v>
      </c>
      <c r="E213" s="28">
        <f t="shared" si="15"/>
        <v>0.115</v>
      </c>
      <c r="F213" s="21" t="s">
        <v>394</v>
      </c>
      <c r="G213" s="106" t="s">
        <v>388</v>
      </c>
      <c r="H213" s="21" t="s">
        <v>391</v>
      </c>
      <c r="I213" s="21"/>
      <c r="J213" s="124"/>
    </row>
    <row r="214" spans="1:10">
      <c r="A214" s="26" t="s">
        <v>395</v>
      </c>
      <c r="B214" s="27">
        <v>1448740</v>
      </c>
      <c r="C214" s="27">
        <v>1231480</v>
      </c>
      <c r="D214" s="27">
        <f t="shared" si="14"/>
        <v>217260</v>
      </c>
      <c r="E214" s="28">
        <f t="shared" si="15"/>
        <v>0.17642186637217008</v>
      </c>
      <c r="F214" s="21" t="s">
        <v>396</v>
      </c>
      <c r="G214" s="106" t="s">
        <v>388</v>
      </c>
      <c r="H214" s="21" t="s">
        <v>348</v>
      </c>
      <c r="I214" s="21" t="s">
        <v>397</v>
      </c>
      <c r="J214" s="124"/>
    </row>
    <row r="215" spans="1:10">
      <c r="A215" s="26" t="s">
        <v>398</v>
      </c>
      <c r="B215" s="27">
        <v>300000</v>
      </c>
      <c r="C215" s="27">
        <v>270000</v>
      </c>
      <c r="D215" s="27">
        <f t="shared" si="14"/>
        <v>30000</v>
      </c>
      <c r="E215" s="28">
        <f t="shared" si="15"/>
        <v>0.1111111111111111</v>
      </c>
      <c r="F215" s="21" t="s">
        <v>399</v>
      </c>
      <c r="G215" s="106" t="s">
        <v>388</v>
      </c>
      <c r="H215" s="21" t="s">
        <v>400</v>
      </c>
      <c r="I215" s="21" t="s">
        <v>401</v>
      </c>
      <c r="J215" s="124"/>
    </row>
    <row r="216" spans="1:10">
      <c r="A216" s="26" t="s">
        <v>186</v>
      </c>
      <c r="B216" s="27">
        <v>7670000</v>
      </c>
      <c r="C216" s="27">
        <v>7178000</v>
      </c>
      <c r="D216" s="27">
        <f t="shared" si="14"/>
        <v>492000</v>
      </c>
      <c r="E216" s="28">
        <f t="shared" si="15"/>
        <v>6.8542769573697412E-2</v>
      </c>
      <c r="F216" s="21" t="s">
        <v>402</v>
      </c>
      <c r="G216" s="106" t="s">
        <v>388</v>
      </c>
      <c r="H216" s="21" t="s">
        <v>21</v>
      </c>
      <c r="I216" s="21"/>
      <c r="J216" s="124"/>
    </row>
    <row r="217" spans="1:10">
      <c r="A217" s="26" t="s">
        <v>403</v>
      </c>
      <c r="B217" s="27">
        <v>746458</v>
      </c>
      <c r="C217" s="27">
        <v>688425</v>
      </c>
      <c r="D217" s="27">
        <f t="shared" si="14"/>
        <v>58033</v>
      </c>
      <c r="E217" s="28">
        <f t="shared" si="15"/>
        <v>8.4298216944474702E-2</v>
      </c>
      <c r="F217" s="21" t="s">
        <v>404</v>
      </c>
      <c r="G217" s="106" t="s">
        <v>388</v>
      </c>
      <c r="H217" s="21" t="s">
        <v>38</v>
      </c>
      <c r="I217" s="21"/>
      <c r="J217" s="124"/>
    </row>
    <row r="218" spans="1:10">
      <c r="A218" s="26" t="s">
        <v>405</v>
      </c>
      <c r="B218" s="27">
        <v>475000</v>
      </c>
      <c r="C218" s="27">
        <v>352000</v>
      </c>
      <c r="D218" s="27">
        <f t="shared" si="14"/>
        <v>123000</v>
      </c>
      <c r="E218" s="28">
        <f t="shared" si="15"/>
        <v>0.34943181818181818</v>
      </c>
      <c r="F218" s="21" t="s">
        <v>406</v>
      </c>
      <c r="G218" s="106" t="s">
        <v>388</v>
      </c>
      <c r="H218" s="21" t="s">
        <v>407</v>
      </c>
      <c r="I218" s="21" t="s">
        <v>408</v>
      </c>
      <c r="J218" s="124"/>
    </row>
    <row r="219" spans="1:10">
      <c r="A219" s="26" t="s">
        <v>405</v>
      </c>
      <c r="B219" s="27">
        <v>5660000</v>
      </c>
      <c r="C219" s="27">
        <v>5000000</v>
      </c>
      <c r="D219" s="27">
        <f t="shared" si="14"/>
        <v>660000</v>
      </c>
      <c r="E219" s="28">
        <f t="shared" si="15"/>
        <v>0.13200000000000001</v>
      </c>
      <c r="F219" s="21" t="s">
        <v>409</v>
      </c>
      <c r="G219" s="106" t="s">
        <v>388</v>
      </c>
      <c r="H219" s="21" t="s">
        <v>30</v>
      </c>
      <c r="I219" s="21" t="s">
        <v>410</v>
      </c>
      <c r="J219" s="124"/>
    </row>
    <row r="220" spans="1:10">
      <c r="A220" s="26" t="s">
        <v>211</v>
      </c>
      <c r="B220" s="27">
        <v>3754000</v>
      </c>
      <c r="C220" s="27">
        <v>1630000</v>
      </c>
      <c r="D220" s="27">
        <f t="shared" si="14"/>
        <v>2124000</v>
      </c>
      <c r="E220" s="28">
        <f t="shared" si="15"/>
        <v>1.3030674846625767</v>
      </c>
      <c r="F220" s="21" t="s">
        <v>411</v>
      </c>
      <c r="G220" s="106" t="s">
        <v>388</v>
      </c>
      <c r="H220" s="21" t="s">
        <v>234</v>
      </c>
      <c r="I220" s="21" t="s">
        <v>412</v>
      </c>
      <c r="J220" s="124"/>
    </row>
    <row r="221" spans="1:10">
      <c r="A221" s="26" t="s">
        <v>50</v>
      </c>
      <c r="B221" s="27">
        <v>4059092.4</v>
      </c>
      <c r="C221" s="27">
        <v>3901038.7</v>
      </c>
      <c r="D221" s="27">
        <f t="shared" si="14"/>
        <v>158053.69999999972</v>
      </c>
      <c r="E221" s="28">
        <f t="shared" si="15"/>
        <v>4.0515799035779808E-2</v>
      </c>
      <c r="F221" s="21" t="s">
        <v>413</v>
      </c>
      <c r="G221" s="106" t="s">
        <v>388</v>
      </c>
      <c r="H221" s="21" t="s">
        <v>30</v>
      </c>
      <c r="I221" s="21" t="s">
        <v>31</v>
      </c>
      <c r="J221" s="124"/>
    </row>
    <row r="222" spans="1:10">
      <c r="A222" s="26" t="s">
        <v>414</v>
      </c>
      <c r="B222" s="27">
        <v>11184840</v>
      </c>
      <c r="C222" s="27">
        <v>10184840</v>
      </c>
      <c r="D222" s="27">
        <f t="shared" si="14"/>
        <v>1000000</v>
      </c>
      <c r="E222" s="28">
        <f t="shared" si="15"/>
        <v>9.8185145765667406E-2</v>
      </c>
      <c r="F222" s="21" t="s">
        <v>415</v>
      </c>
      <c r="G222" s="106" t="s">
        <v>388</v>
      </c>
      <c r="H222" s="21" t="s">
        <v>124</v>
      </c>
      <c r="I222" s="21"/>
      <c r="J222" s="124"/>
    </row>
    <row r="223" spans="1:10">
      <c r="A223" s="26" t="s">
        <v>148</v>
      </c>
      <c r="B223" s="27">
        <v>149760</v>
      </c>
      <c r="C223" s="27">
        <v>121760</v>
      </c>
      <c r="D223" s="27">
        <f t="shared" si="14"/>
        <v>28000</v>
      </c>
      <c r="E223" s="28">
        <f t="shared" si="15"/>
        <v>0.22996057818659657</v>
      </c>
      <c r="F223" s="21" t="s">
        <v>416</v>
      </c>
      <c r="G223" s="106" t="s">
        <v>388</v>
      </c>
      <c r="H223" s="21" t="s">
        <v>89</v>
      </c>
      <c r="I223" s="21" t="s">
        <v>417</v>
      </c>
      <c r="J223" s="124"/>
    </row>
    <row r="224" spans="1:10">
      <c r="A224" s="26" t="s">
        <v>418</v>
      </c>
      <c r="B224" s="27">
        <v>5445000</v>
      </c>
      <c r="C224" s="27">
        <v>5036600</v>
      </c>
      <c r="D224" s="27">
        <f t="shared" si="14"/>
        <v>408400</v>
      </c>
      <c r="E224" s="28">
        <f t="shared" si="15"/>
        <v>8.1086447206448795E-2</v>
      </c>
      <c r="F224" s="21" t="s">
        <v>419</v>
      </c>
      <c r="G224" s="106" t="s">
        <v>388</v>
      </c>
      <c r="H224" s="21" t="s">
        <v>38</v>
      </c>
      <c r="I224" s="21"/>
      <c r="J224" s="124"/>
    </row>
    <row r="225" spans="1:10">
      <c r="A225" s="26" t="s">
        <v>174</v>
      </c>
      <c r="B225" s="27">
        <v>2480130</v>
      </c>
      <c r="C225" s="27">
        <v>2281719.6</v>
      </c>
      <c r="D225" s="27">
        <f t="shared" si="14"/>
        <v>198410.39999999991</v>
      </c>
      <c r="E225" s="28">
        <f t="shared" si="15"/>
        <v>8.6956521739130391E-2</v>
      </c>
      <c r="F225" s="21" t="s">
        <v>420</v>
      </c>
      <c r="G225" s="106" t="s">
        <v>388</v>
      </c>
      <c r="H225" s="21" t="s">
        <v>63</v>
      </c>
      <c r="I225" s="21"/>
      <c r="J225" s="124"/>
    </row>
    <row r="226" spans="1:10">
      <c r="A226" s="26" t="s">
        <v>186</v>
      </c>
      <c r="B226" s="27">
        <v>506500</v>
      </c>
      <c r="C226" s="27">
        <v>438500</v>
      </c>
      <c r="D226" s="27">
        <f t="shared" si="14"/>
        <v>68000</v>
      </c>
      <c r="E226" s="28">
        <f t="shared" si="15"/>
        <v>0.15507411630558723</v>
      </c>
      <c r="F226" s="21" t="s">
        <v>421</v>
      </c>
      <c r="G226" s="106" t="s">
        <v>388</v>
      </c>
      <c r="H226" s="21" t="s">
        <v>30</v>
      </c>
      <c r="I226" s="21" t="s">
        <v>304</v>
      </c>
      <c r="J226" s="124"/>
    </row>
    <row r="227" spans="1:10">
      <c r="A227" s="26" t="s">
        <v>186</v>
      </c>
      <c r="B227" s="27">
        <v>1507370</v>
      </c>
      <c r="C227" s="27">
        <v>1343666</v>
      </c>
      <c r="D227" s="27">
        <f t="shared" si="14"/>
        <v>163704</v>
      </c>
      <c r="E227" s="28">
        <f t="shared" si="15"/>
        <v>0.12183384859034908</v>
      </c>
      <c r="F227" s="21" t="s">
        <v>422</v>
      </c>
      <c r="G227" s="106" t="s">
        <v>388</v>
      </c>
      <c r="H227" s="21" t="s">
        <v>38</v>
      </c>
      <c r="I227" s="21" t="s">
        <v>423</v>
      </c>
      <c r="J227" s="124"/>
    </row>
    <row r="228" spans="1:10">
      <c r="A228" s="26" t="s">
        <v>424</v>
      </c>
      <c r="B228" s="27">
        <v>3428000</v>
      </c>
      <c r="C228" s="27">
        <v>2553000</v>
      </c>
      <c r="D228" s="27">
        <f t="shared" si="14"/>
        <v>875000</v>
      </c>
      <c r="E228" s="28">
        <f t="shared" si="15"/>
        <v>0.3427340383862123</v>
      </c>
      <c r="F228" s="21" t="s">
        <v>425</v>
      </c>
      <c r="G228" s="106" t="s">
        <v>388</v>
      </c>
      <c r="H228" s="21"/>
      <c r="I228" s="21" t="s">
        <v>426</v>
      </c>
      <c r="J228" s="124"/>
    </row>
    <row r="229" spans="1:10">
      <c r="A229" s="53" t="s">
        <v>427</v>
      </c>
      <c r="B229" s="52">
        <f t="shared" ref="B229:D229" si="18">SUM(B211:B228)</f>
        <v>107316465.97</v>
      </c>
      <c r="C229" s="52">
        <f t="shared" si="18"/>
        <v>94844719.299999997</v>
      </c>
      <c r="D229" s="52">
        <f t="shared" si="18"/>
        <v>12471746.67</v>
      </c>
      <c r="E229" s="28"/>
      <c r="F229" s="21"/>
      <c r="G229" s="106" t="s">
        <v>388</v>
      </c>
      <c r="H229" s="21"/>
      <c r="I229" s="21"/>
      <c r="J229" s="51"/>
    </row>
    <row r="230" spans="1:10">
      <c r="A230" s="134" t="s">
        <v>428</v>
      </c>
      <c r="B230" s="134"/>
      <c r="C230" s="134"/>
      <c r="D230" s="134"/>
      <c r="E230" s="134"/>
      <c r="F230" s="134"/>
      <c r="G230" s="134"/>
      <c r="H230" s="134"/>
      <c r="I230" s="134"/>
      <c r="J230" s="134"/>
    </row>
    <row r="231" spans="1:10">
      <c r="A231" s="26" t="s">
        <v>429</v>
      </c>
      <c r="B231" s="27">
        <v>3687970</v>
      </c>
      <c r="C231" s="27">
        <v>3430220.6</v>
      </c>
      <c r="D231" s="27">
        <f t="shared" si="14"/>
        <v>257749.39999999991</v>
      </c>
      <c r="E231" s="28">
        <f t="shared" si="15"/>
        <v>7.5140764999195656E-2</v>
      </c>
      <c r="F231" s="21" t="s">
        <v>430</v>
      </c>
      <c r="G231" s="105" t="s">
        <v>431</v>
      </c>
      <c r="H231" s="21" t="s">
        <v>348</v>
      </c>
      <c r="I231" s="21" t="s">
        <v>432</v>
      </c>
      <c r="J231" s="153">
        <f>SUM(D231:D250)</f>
        <v>18530377.52</v>
      </c>
    </row>
    <row r="232" spans="1:10">
      <c r="A232" s="26" t="s">
        <v>433</v>
      </c>
      <c r="B232" s="27">
        <v>3304399.32</v>
      </c>
      <c r="C232" s="27">
        <v>3291900</v>
      </c>
      <c r="D232" s="27">
        <f t="shared" si="14"/>
        <v>12499.319999999832</v>
      </c>
      <c r="E232" s="28">
        <f t="shared" si="15"/>
        <v>3.7969926182447318E-3</v>
      </c>
      <c r="F232" s="21" t="s">
        <v>434</v>
      </c>
      <c r="G232" s="105" t="s">
        <v>431</v>
      </c>
      <c r="H232" s="21" t="s">
        <v>391</v>
      </c>
      <c r="I232" s="21"/>
      <c r="J232" s="153"/>
    </row>
    <row r="233" spans="1:10">
      <c r="A233" s="26" t="s">
        <v>435</v>
      </c>
      <c r="B233" s="27">
        <v>275000</v>
      </c>
      <c r="C233" s="27">
        <v>209000</v>
      </c>
      <c r="D233" s="27">
        <f t="shared" si="14"/>
        <v>66000</v>
      </c>
      <c r="E233" s="28">
        <f t="shared" si="15"/>
        <v>0.31578947368421051</v>
      </c>
      <c r="F233" s="21" t="s">
        <v>436</v>
      </c>
      <c r="G233" s="105" t="s">
        <v>431</v>
      </c>
      <c r="H233" s="21" t="s">
        <v>348</v>
      </c>
      <c r="I233" s="21" t="s">
        <v>437</v>
      </c>
      <c r="J233" s="153"/>
    </row>
    <row r="234" spans="1:10">
      <c r="A234" s="26" t="s">
        <v>438</v>
      </c>
      <c r="B234" s="27">
        <v>174240</v>
      </c>
      <c r="C234" s="27">
        <v>156816</v>
      </c>
      <c r="D234" s="27">
        <f t="shared" si="14"/>
        <v>17424</v>
      </c>
      <c r="E234" s="28">
        <f t="shared" si="15"/>
        <v>0.1111111111111111</v>
      </c>
      <c r="F234" s="21" t="s">
        <v>439</v>
      </c>
      <c r="G234" s="105" t="s">
        <v>431</v>
      </c>
      <c r="H234" s="21" t="s">
        <v>440</v>
      </c>
      <c r="I234" s="21"/>
      <c r="J234" s="153"/>
    </row>
    <row r="235" spans="1:10">
      <c r="A235" s="26" t="s">
        <v>438</v>
      </c>
      <c r="B235" s="27">
        <v>237850</v>
      </c>
      <c r="C235" s="27">
        <v>214066</v>
      </c>
      <c r="D235" s="27">
        <f t="shared" si="14"/>
        <v>23784</v>
      </c>
      <c r="E235" s="28">
        <f t="shared" si="15"/>
        <v>0.11110592060392589</v>
      </c>
      <c r="F235" s="21" t="s">
        <v>439</v>
      </c>
      <c r="G235" s="105" t="s">
        <v>431</v>
      </c>
      <c r="H235" s="21" t="s">
        <v>440</v>
      </c>
      <c r="I235" s="21"/>
      <c r="J235" s="153"/>
    </row>
    <row r="236" spans="1:10">
      <c r="A236" s="26" t="s">
        <v>441</v>
      </c>
      <c r="B236" s="27">
        <v>660000</v>
      </c>
      <c r="C236" s="27">
        <v>620000</v>
      </c>
      <c r="D236" s="27">
        <f t="shared" si="14"/>
        <v>40000</v>
      </c>
      <c r="E236" s="28">
        <f t="shared" si="15"/>
        <v>6.4516129032258063E-2</v>
      </c>
      <c r="F236" s="21" t="s">
        <v>442</v>
      </c>
      <c r="G236" s="105" t="s">
        <v>431</v>
      </c>
      <c r="H236" s="21" t="s">
        <v>440</v>
      </c>
      <c r="I236" s="21"/>
      <c r="J236" s="153"/>
    </row>
    <row r="237" spans="1:10">
      <c r="A237" s="26" t="s">
        <v>22</v>
      </c>
      <c r="B237" s="27">
        <v>2254800</v>
      </c>
      <c r="C237" s="27">
        <v>2030900</v>
      </c>
      <c r="D237" s="27">
        <f t="shared" si="14"/>
        <v>223900</v>
      </c>
      <c r="E237" s="28">
        <f t="shared" si="15"/>
        <v>0.11024668866019992</v>
      </c>
      <c r="F237" s="21" t="s">
        <v>443</v>
      </c>
      <c r="G237" s="105" t="s">
        <v>431</v>
      </c>
      <c r="H237" s="21" t="s">
        <v>440</v>
      </c>
      <c r="I237" s="21"/>
      <c r="J237" s="153"/>
    </row>
    <row r="238" spans="1:10">
      <c r="A238" s="26" t="s">
        <v>444</v>
      </c>
      <c r="B238" s="27">
        <v>1358000</v>
      </c>
      <c r="C238" s="27">
        <v>1322000</v>
      </c>
      <c r="D238" s="27">
        <f t="shared" si="14"/>
        <v>36000</v>
      </c>
      <c r="E238" s="28">
        <f t="shared" si="15"/>
        <v>2.7231467473524961E-2</v>
      </c>
      <c r="F238" s="21" t="s">
        <v>445</v>
      </c>
      <c r="G238" s="105" t="s">
        <v>431</v>
      </c>
      <c r="H238" s="21" t="s">
        <v>348</v>
      </c>
      <c r="I238" s="21" t="s">
        <v>446</v>
      </c>
      <c r="J238" s="153"/>
    </row>
    <row r="239" spans="1:10">
      <c r="A239" s="26" t="s">
        <v>444</v>
      </c>
      <c r="B239" s="27">
        <v>1857000</v>
      </c>
      <c r="C239" s="27">
        <v>1699000</v>
      </c>
      <c r="D239" s="27">
        <f t="shared" si="14"/>
        <v>158000</v>
      </c>
      <c r="E239" s="28">
        <f t="shared" si="15"/>
        <v>9.2995879929370223E-2</v>
      </c>
      <c r="F239" s="21" t="s">
        <v>445</v>
      </c>
      <c r="G239" s="105" t="s">
        <v>431</v>
      </c>
      <c r="H239" s="21" t="s">
        <v>348</v>
      </c>
      <c r="I239" s="21" t="s">
        <v>446</v>
      </c>
      <c r="J239" s="153"/>
    </row>
    <row r="240" spans="1:10">
      <c r="A240" s="26" t="s">
        <v>433</v>
      </c>
      <c r="B240" s="27">
        <v>1747806</v>
      </c>
      <c r="C240" s="27">
        <v>1572256</v>
      </c>
      <c r="D240" s="27">
        <f t="shared" si="14"/>
        <v>175550</v>
      </c>
      <c r="E240" s="28">
        <f t="shared" si="15"/>
        <v>0.11165484501251705</v>
      </c>
      <c r="F240" s="21" t="s">
        <v>447</v>
      </c>
      <c r="G240" s="105" t="s">
        <v>431</v>
      </c>
      <c r="H240" s="21" t="s">
        <v>448</v>
      </c>
      <c r="I240" s="21"/>
      <c r="J240" s="153"/>
    </row>
    <row r="241" spans="1:10">
      <c r="A241" s="26" t="s">
        <v>449</v>
      </c>
      <c r="B241" s="27">
        <v>5880000</v>
      </c>
      <c r="C241" s="27">
        <v>5586000</v>
      </c>
      <c r="D241" s="27">
        <f t="shared" ref="D241:D242" si="19">B241-C241</f>
        <v>294000</v>
      </c>
      <c r="E241" s="28">
        <f t="shared" ref="E241:E242" si="20">(B241-C241)/C241</f>
        <v>5.2631578947368418E-2</v>
      </c>
      <c r="F241" s="21" t="s">
        <v>450</v>
      </c>
      <c r="G241" s="105" t="s">
        <v>431</v>
      </c>
      <c r="H241" s="21" t="s">
        <v>348</v>
      </c>
      <c r="I241" s="21" t="s">
        <v>451</v>
      </c>
      <c r="J241" s="153"/>
    </row>
    <row r="242" spans="1:10">
      <c r="A242" s="26" t="s">
        <v>452</v>
      </c>
      <c r="B242" s="27">
        <v>232400</v>
      </c>
      <c r="C242" s="27">
        <v>217400</v>
      </c>
      <c r="D242" s="27">
        <f t="shared" si="19"/>
        <v>15000</v>
      </c>
      <c r="E242" s="28">
        <f t="shared" si="20"/>
        <v>6.8997240110395583E-2</v>
      </c>
      <c r="F242" s="21" t="s">
        <v>453</v>
      </c>
      <c r="G242" s="105" t="s">
        <v>431</v>
      </c>
      <c r="H242" s="21" t="s">
        <v>30</v>
      </c>
      <c r="I242" s="21" t="s">
        <v>454</v>
      </c>
      <c r="J242" s="153"/>
    </row>
    <row r="243" spans="1:10">
      <c r="A243" s="26" t="s">
        <v>455</v>
      </c>
      <c r="B243" s="27">
        <v>749000</v>
      </c>
      <c r="C243" s="27">
        <v>674100</v>
      </c>
      <c r="D243" s="27"/>
      <c r="E243" s="28">
        <f t="shared" si="15"/>
        <v>0.1111111111111111</v>
      </c>
      <c r="F243" s="21" t="s">
        <v>456</v>
      </c>
      <c r="G243" s="105" t="s">
        <v>431</v>
      </c>
      <c r="H243" s="21" t="s">
        <v>407</v>
      </c>
      <c r="I243" s="21"/>
      <c r="J243" s="153"/>
    </row>
    <row r="244" spans="1:10">
      <c r="A244" s="26" t="s">
        <v>457</v>
      </c>
      <c r="B244" s="27">
        <v>1523662</v>
      </c>
      <c r="C244" s="27">
        <v>998626</v>
      </c>
      <c r="D244" s="27">
        <f t="shared" si="14"/>
        <v>525036</v>
      </c>
      <c r="E244" s="28">
        <f t="shared" si="15"/>
        <v>0.52575839203065011</v>
      </c>
      <c r="F244" s="21" t="s">
        <v>458</v>
      </c>
      <c r="G244" s="105" t="s">
        <v>431</v>
      </c>
      <c r="H244" s="21" t="s">
        <v>407</v>
      </c>
      <c r="I244" s="21"/>
      <c r="J244" s="153"/>
    </row>
    <row r="245" spans="1:10">
      <c r="A245" s="26" t="s">
        <v>459</v>
      </c>
      <c r="B245" s="27">
        <v>1160970.8</v>
      </c>
      <c r="C245" s="27">
        <v>1068094</v>
      </c>
      <c r="D245" s="27">
        <f t="shared" si="14"/>
        <v>92876.800000000047</v>
      </c>
      <c r="E245" s="28">
        <f t="shared" si="15"/>
        <v>8.6955642480905287E-2</v>
      </c>
      <c r="F245" s="21" t="s">
        <v>460</v>
      </c>
      <c r="G245" s="105" t="s">
        <v>431</v>
      </c>
      <c r="H245" s="21" t="s">
        <v>407</v>
      </c>
      <c r="I245" s="21"/>
      <c r="J245" s="153"/>
    </row>
    <row r="246" spans="1:10">
      <c r="A246" s="26" t="s">
        <v>461</v>
      </c>
      <c r="B246" s="27">
        <v>402417500</v>
      </c>
      <c r="C246" s="27">
        <v>388613900</v>
      </c>
      <c r="D246" s="27">
        <f t="shared" si="14"/>
        <v>13803600</v>
      </c>
      <c r="E246" s="28">
        <f t="shared" si="15"/>
        <v>3.5520088190360663E-2</v>
      </c>
      <c r="F246" s="21" t="s">
        <v>462</v>
      </c>
      <c r="G246" s="105" t="s">
        <v>431</v>
      </c>
      <c r="H246" s="21" t="s">
        <v>38</v>
      </c>
      <c r="I246" s="21"/>
      <c r="J246" s="153"/>
    </row>
    <row r="247" spans="1:10">
      <c r="A247" s="26" t="s">
        <v>75</v>
      </c>
      <c r="B247" s="27">
        <v>1663370</v>
      </c>
      <c r="C247" s="27">
        <v>1497033</v>
      </c>
      <c r="D247" s="27">
        <f t="shared" si="14"/>
        <v>166337</v>
      </c>
      <c r="E247" s="28">
        <f t="shared" si="15"/>
        <v>0.1111111111111111</v>
      </c>
      <c r="F247" s="21" t="s">
        <v>463</v>
      </c>
      <c r="G247" s="105" t="s">
        <v>431</v>
      </c>
      <c r="H247" s="21" t="s">
        <v>30</v>
      </c>
      <c r="I247" s="21" t="s">
        <v>464</v>
      </c>
      <c r="J247" s="153"/>
    </row>
    <row r="248" spans="1:10">
      <c r="A248" s="26" t="s">
        <v>465</v>
      </c>
      <c r="B248" s="27">
        <v>1086000</v>
      </c>
      <c r="C248" s="27">
        <v>977400</v>
      </c>
      <c r="D248" s="27">
        <f t="shared" si="14"/>
        <v>108600</v>
      </c>
      <c r="E248" s="28">
        <f t="shared" si="15"/>
        <v>0.1111111111111111</v>
      </c>
      <c r="F248" s="21" t="s">
        <v>466</v>
      </c>
      <c r="G248" s="105" t="s">
        <v>431</v>
      </c>
      <c r="H248" s="21" t="s">
        <v>30</v>
      </c>
      <c r="I248" s="21" t="s">
        <v>467</v>
      </c>
      <c r="J248" s="153"/>
    </row>
    <row r="249" spans="1:10">
      <c r="A249" s="26" t="s">
        <v>468</v>
      </c>
      <c r="B249" s="27">
        <v>1636187</v>
      </c>
      <c r="C249" s="27">
        <v>1328236</v>
      </c>
      <c r="D249" s="27">
        <f t="shared" si="14"/>
        <v>307951</v>
      </c>
      <c r="E249" s="28">
        <f t="shared" si="15"/>
        <v>0.23184961106309421</v>
      </c>
      <c r="F249" s="21" t="s">
        <v>469</v>
      </c>
      <c r="G249" s="105" t="s">
        <v>431</v>
      </c>
      <c r="H249" s="21" t="s">
        <v>38</v>
      </c>
      <c r="I249" s="21"/>
      <c r="J249" s="153"/>
    </row>
    <row r="250" spans="1:10">
      <c r="A250" s="26" t="s">
        <v>470</v>
      </c>
      <c r="B250" s="27">
        <v>5568190</v>
      </c>
      <c r="C250" s="27">
        <v>3362120</v>
      </c>
      <c r="D250" s="27">
        <f t="shared" si="14"/>
        <v>2206070</v>
      </c>
      <c r="E250" s="28">
        <f t="shared" si="15"/>
        <v>0.65615445016834617</v>
      </c>
      <c r="F250" s="21" t="s">
        <v>471</v>
      </c>
      <c r="G250" s="105" t="s">
        <v>431</v>
      </c>
      <c r="H250" s="21" t="s">
        <v>38</v>
      </c>
      <c r="I250" s="21"/>
      <c r="J250" s="153"/>
    </row>
    <row r="251" spans="1:10">
      <c r="A251" s="146" t="s">
        <v>472</v>
      </c>
      <c r="B251" s="147"/>
      <c r="C251" s="147"/>
      <c r="D251" s="147"/>
      <c r="E251" s="147"/>
      <c r="F251" s="147"/>
      <c r="G251" s="147"/>
      <c r="H251" s="147"/>
      <c r="I251" s="147"/>
      <c r="J251" s="148"/>
    </row>
    <row r="252" spans="1:10">
      <c r="A252" s="26" t="s">
        <v>473</v>
      </c>
      <c r="B252" s="27">
        <v>442000</v>
      </c>
      <c r="C252" s="27">
        <v>388960</v>
      </c>
      <c r="D252" s="27">
        <f t="shared" ref="D252:D253" si="21">B252-C252</f>
        <v>53040</v>
      </c>
      <c r="E252" s="28">
        <f t="shared" ref="E252:E253" si="22">(B252-C252)/C252</f>
        <v>0.13636363636363635</v>
      </c>
      <c r="F252" s="21" t="s">
        <v>474</v>
      </c>
      <c r="G252" s="107" t="s">
        <v>475</v>
      </c>
      <c r="H252" s="21" t="s">
        <v>38</v>
      </c>
      <c r="I252" s="32" t="s">
        <v>476</v>
      </c>
      <c r="J252" s="127">
        <f>SUM(D252:D288)</f>
        <v>18515720</v>
      </c>
    </row>
    <row r="253" spans="1:10">
      <c r="A253" s="26" t="s">
        <v>473</v>
      </c>
      <c r="B253" s="27">
        <v>442000</v>
      </c>
      <c r="C253" s="27">
        <v>388960</v>
      </c>
      <c r="D253" s="27">
        <f t="shared" si="21"/>
        <v>53040</v>
      </c>
      <c r="E253" s="28">
        <f t="shared" si="22"/>
        <v>0.13636363636363635</v>
      </c>
      <c r="F253" s="21" t="s">
        <v>474</v>
      </c>
      <c r="G253" s="107" t="s">
        <v>475</v>
      </c>
      <c r="H253" s="21" t="s">
        <v>38</v>
      </c>
      <c r="I253" s="32" t="s">
        <v>477</v>
      </c>
      <c r="J253" s="128"/>
    </row>
    <row r="254" spans="1:10">
      <c r="A254" s="8" t="s">
        <v>478</v>
      </c>
      <c r="B254" s="19">
        <v>1244250</v>
      </c>
      <c r="C254" s="19">
        <v>1185000</v>
      </c>
      <c r="D254" s="27">
        <f t="shared" si="14"/>
        <v>59250</v>
      </c>
      <c r="E254" s="28">
        <f t="shared" si="15"/>
        <v>0.05</v>
      </c>
      <c r="F254" s="13" t="s">
        <v>479</v>
      </c>
      <c r="G254" s="107" t="s">
        <v>475</v>
      </c>
      <c r="H254" s="21" t="s">
        <v>480</v>
      </c>
      <c r="I254" s="32"/>
      <c r="J254" s="128"/>
    </row>
    <row r="255" spans="1:10">
      <c r="A255" s="7" t="s">
        <v>481</v>
      </c>
      <c r="B255" s="17">
        <v>538200</v>
      </c>
      <c r="C255" s="17">
        <v>484380</v>
      </c>
      <c r="D255" s="17">
        <f t="shared" si="14"/>
        <v>53820</v>
      </c>
      <c r="E255" s="1">
        <f t="shared" si="15"/>
        <v>0.1111111111111111</v>
      </c>
      <c r="F255" s="12" t="s">
        <v>482</v>
      </c>
      <c r="G255" s="107" t="s">
        <v>475</v>
      </c>
      <c r="H255" s="18"/>
      <c r="I255" s="33" t="s">
        <v>483</v>
      </c>
      <c r="J255" s="128"/>
    </row>
    <row r="256" spans="1:10">
      <c r="A256" s="7" t="s">
        <v>481</v>
      </c>
      <c r="B256" s="17">
        <v>538200</v>
      </c>
      <c r="C256" s="17">
        <v>484380</v>
      </c>
      <c r="D256" s="17">
        <f t="shared" si="14"/>
        <v>53820</v>
      </c>
      <c r="E256" s="2">
        <f t="shared" si="15"/>
        <v>0.1111111111111111</v>
      </c>
      <c r="F256" s="13" t="s">
        <v>484</v>
      </c>
      <c r="G256" s="107" t="s">
        <v>475</v>
      </c>
      <c r="H256" s="20"/>
      <c r="I256" s="33" t="s">
        <v>483</v>
      </c>
      <c r="J256" s="128"/>
    </row>
    <row r="257" spans="1:10">
      <c r="A257" s="8" t="s">
        <v>485</v>
      </c>
      <c r="B257" s="19">
        <v>3168000</v>
      </c>
      <c r="C257" s="19">
        <v>2880000</v>
      </c>
      <c r="D257" s="17">
        <f t="shared" si="14"/>
        <v>288000</v>
      </c>
      <c r="E257" s="2">
        <f t="shared" ref="E257:E321" si="23">(B257-C257)/C257</f>
        <v>0.1</v>
      </c>
      <c r="F257" s="13" t="s">
        <v>486</v>
      </c>
      <c r="G257" s="107" t="s">
        <v>475</v>
      </c>
      <c r="H257" s="20" t="s">
        <v>236</v>
      </c>
      <c r="I257" s="32"/>
      <c r="J257" s="128"/>
    </row>
    <row r="258" spans="1:10">
      <c r="A258" s="8" t="s">
        <v>424</v>
      </c>
      <c r="B258" s="19">
        <v>72000</v>
      </c>
      <c r="C258" s="19">
        <v>63800</v>
      </c>
      <c r="D258" s="17">
        <f t="shared" si="14"/>
        <v>8200</v>
      </c>
      <c r="E258" s="2">
        <f t="shared" si="23"/>
        <v>0.12852664576802508</v>
      </c>
      <c r="F258" s="13" t="s">
        <v>487</v>
      </c>
      <c r="G258" s="107" t="s">
        <v>475</v>
      </c>
      <c r="H258" s="20" t="s">
        <v>488</v>
      </c>
      <c r="I258" s="32"/>
      <c r="J258" s="128"/>
    </row>
    <row r="259" spans="1:10">
      <c r="A259" s="8" t="s">
        <v>489</v>
      </c>
      <c r="B259" s="19">
        <v>713500</v>
      </c>
      <c r="C259" s="19">
        <v>701100</v>
      </c>
      <c r="D259" s="17">
        <f t="shared" ref="D259:D323" si="24">B259-C259</f>
        <v>12400</v>
      </c>
      <c r="E259" s="2">
        <f>(B259-C259)/C259</f>
        <v>1.7686492654400227E-2</v>
      </c>
      <c r="F259" s="13" t="s">
        <v>490</v>
      </c>
      <c r="G259" s="107" t="s">
        <v>475</v>
      </c>
      <c r="H259" s="20" t="s">
        <v>30</v>
      </c>
      <c r="I259" s="32" t="s">
        <v>491</v>
      </c>
      <c r="J259" s="128"/>
    </row>
    <row r="260" spans="1:10">
      <c r="A260" s="8" t="s">
        <v>65</v>
      </c>
      <c r="B260" s="19">
        <v>3850000</v>
      </c>
      <c r="C260" s="19">
        <v>3120000</v>
      </c>
      <c r="D260" s="17">
        <f t="shared" si="24"/>
        <v>730000</v>
      </c>
      <c r="E260" s="2">
        <f t="shared" si="23"/>
        <v>0.23397435897435898</v>
      </c>
      <c r="F260" s="13" t="s">
        <v>492</v>
      </c>
      <c r="G260" s="107" t="s">
        <v>475</v>
      </c>
      <c r="H260" s="20" t="s">
        <v>30</v>
      </c>
      <c r="I260" s="32" t="s">
        <v>493</v>
      </c>
      <c r="J260" s="128"/>
    </row>
    <row r="261" spans="1:10">
      <c r="A261" s="8" t="s">
        <v>186</v>
      </c>
      <c r="B261" s="19">
        <v>3869800</v>
      </c>
      <c r="C261" s="19">
        <v>3552871</v>
      </c>
      <c r="D261" s="17">
        <f t="shared" si="24"/>
        <v>316929</v>
      </c>
      <c r="E261" s="2">
        <f t="shared" si="23"/>
        <v>8.9203632780362696E-2</v>
      </c>
      <c r="F261" s="13" t="s">
        <v>494</v>
      </c>
      <c r="G261" s="107" t="s">
        <v>475</v>
      </c>
      <c r="H261" s="20" t="s">
        <v>124</v>
      </c>
      <c r="I261" s="32"/>
      <c r="J261" s="128"/>
    </row>
    <row r="262" spans="1:10">
      <c r="A262" s="8" t="s">
        <v>398</v>
      </c>
      <c r="B262" s="19">
        <v>538200</v>
      </c>
      <c r="C262" s="19">
        <v>484380</v>
      </c>
      <c r="D262" s="17">
        <f t="shared" si="24"/>
        <v>53820</v>
      </c>
      <c r="E262" s="2">
        <f>(B262-C262)/C262</f>
        <v>0.1111111111111111</v>
      </c>
      <c r="F262" s="13" t="s">
        <v>495</v>
      </c>
      <c r="G262" s="107" t="s">
        <v>475</v>
      </c>
      <c r="H262" s="20" t="s">
        <v>110</v>
      </c>
      <c r="I262" s="32" t="s">
        <v>496</v>
      </c>
      <c r="J262" s="128"/>
    </row>
    <row r="263" spans="1:10">
      <c r="A263" s="8" t="s">
        <v>497</v>
      </c>
      <c r="B263" s="19">
        <v>3721152</v>
      </c>
      <c r="C263" s="19">
        <v>3488580</v>
      </c>
      <c r="D263" s="17">
        <f t="shared" si="24"/>
        <v>232572</v>
      </c>
      <c r="E263" s="2">
        <f t="shared" si="23"/>
        <v>6.6666666666666666E-2</v>
      </c>
      <c r="F263" s="13" t="s">
        <v>498</v>
      </c>
      <c r="G263" s="107" t="s">
        <v>475</v>
      </c>
      <c r="H263" s="20" t="s">
        <v>110</v>
      </c>
      <c r="I263" s="34" t="s">
        <v>496</v>
      </c>
      <c r="J263" s="128"/>
    </row>
    <row r="264" spans="1:10">
      <c r="A264" s="8" t="s">
        <v>499</v>
      </c>
      <c r="B264" s="19">
        <v>5470000</v>
      </c>
      <c r="C264" s="19">
        <v>4901100</v>
      </c>
      <c r="D264" s="17">
        <f t="shared" si="24"/>
        <v>568900</v>
      </c>
      <c r="E264" s="2">
        <f t="shared" si="23"/>
        <v>0.11607598294260472</v>
      </c>
      <c r="F264" s="13" t="s">
        <v>500</v>
      </c>
      <c r="G264" s="107" t="s">
        <v>475</v>
      </c>
      <c r="H264" s="20"/>
      <c r="I264" s="32"/>
      <c r="J264" s="128"/>
    </row>
    <row r="265" spans="1:10">
      <c r="A265" s="8" t="s">
        <v>398</v>
      </c>
      <c r="B265" s="19">
        <v>680000</v>
      </c>
      <c r="C265" s="19">
        <v>590000</v>
      </c>
      <c r="D265" s="17">
        <f t="shared" si="24"/>
        <v>90000</v>
      </c>
      <c r="E265" s="2">
        <f t="shared" si="23"/>
        <v>0.15254237288135594</v>
      </c>
      <c r="F265" s="13" t="s">
        <v>501</v>
      </c>
      <c r="G265" s="107" t="s">
        <v>475</v>
      </c>
      <c r="H265" s="20" t="s">
        <v>30</v>
      </c>
      <c r="I265" s="32" t="s">
        <v>502</v>
      </c>
      <c r="J265" s="128"/>
    </row>
    <row r="266" spans="1:10">
      <c r="A266" s="8" t="s">
        <v>398</v>
      </c>
      <c r="B266" s="19">
        <v>538200</v>
      </c>
      <c r="C266" s="19">
        <v>484380</v>
      </c>
      <c r="D266" s="17">
        <f t="shared" si="24"/>
        <v>53820</v>
      </c>
      <c r="E266" s="2">
        <f t="shared" si="23"/>
        <v>0.1111111111111111</v>
      </c>
      <c r="F266" s="13" t="s">
        <v>503</v>
      </c>
      <c r="G266" s="107" t="s">
        <v>475</v>
      </c>
      <c r="H266" s="20" t="s">
        <v>30</v>
      </c>
      <c r="I266" s="33" t="s">
        <v>504</v>
      </c>
      <c r="J266" s="128"/>
    </row>
    <row r="267" spans="1:10">
      <c r="A267" s="8" t="s">
        <v>505</v>
      </c>
      <c r="B267" s="19">
        <v>35823060</v>
      </c>
      <c r="C267" s="19">
        <v>28485864</v>
      </c>
      <c r="D267" s="17">
        <f t="shared" si="24"/>
        <v>7337196</v>
      </c>
      <c r="E267" s="2">
        <f t="shared" si="23"/>
        <v>0.25757323000629367</v>
      </c>
      <c r="F267" s="13" t="s">
        <v>506</v>
      </c>
      <c r="G267" s="107" t="s">
        <v>475</v>
      </c>
      <c r="H267" s="20"/>
      <c r="I267" s="32"/>
      <c r="J267" s="128"/>
    </row>
    <row r="268" spans="1:10">
      <c r="A268" s="8" t="s">
        <v>507</v>
      </c>
      <c r="B268" s="19">
        <v>150810</v>
      </c>
      <c r="C268" s="19">
        <v>144750</v>
      </c>
      <c r="D268" s="17">
        <f t="shared" si="24"/>
        <v>6060</v>
      </c>
      <c r="E268" s="2">
        <f t="shared" si="23"/>
        <v>4.1865284974093267E-2</v>
      </c>
      <c r="F268" s="13" t="s">
        <v>406</v>
      </c>
      <c r="G268" s="107" t="s">
        <v>475</v>
      </c>
      <c r="H268" s="20" t="s">
        <v>63</v>
      </c>
      <c r="I268" s="32" t="s">
        <v>508</v>
      </c>
      <c r="J268" s="128"/>
    </row>
    <row r="269" spans="1:10">
      <c r="A269" s="8" t="s">
        <v>509</v>
      </c>
      <c r="B269" s="19">
        <v>86740</v>
      </c>
      <c r="C269" s="19">
        <v>77440</v>
      </c>
      <c r="D269" s="17">
        <f t="shared" si="24"/>
        <v>9300</v>
      </c>
      <c r="E269" s="2">
        <f t="shared" si="23"/>
        <v>0.12009297520661157</v>
      </c>
      <c r="F269" s="13" t="s">
        <v>510</v>
      </c>
      <c r="G269" s="107" t="s">
        <v>475</v>
      </c>
      <c r="H269" s="20" t="s">
        <v>124</v>
      </c>
      <c r="I269" s="32" t="s">
        <v>511</v>
      </c>
      <c r="J269" s="128"/>
    </row>
    <row r="270" spans="1:10">
      <c r="A270" s="8" t="s">
        <v>512</v>
      </c>
      <c r="B270" s="19">
        <v>189000</v>
      </c>
      <c r="C270" s="19">
        <v>182000</v>
      </c>
      <c r="D270" s="17">
        <f t="shared" si="24"/>
        <v>7000</v>
      </c>
      <c r="E270" s="2">
        <f t="shared" si="23"/>
        <v>3.8461538461538464E-2</v>
      </c>
      <c r="F270" s="13" t="s">
        <v>513</v>
      </c>
      <c r="G270" s="107" t="s">
        <v>475</v>
      </c>
      <c r="H270" s="20" t="s">
        <v>30</v>
      </c>
      <c r="I270" s="32" t="s">
        <v>514</v>
      </c>
      <c r="J270" s="128"/>
    </row>
    <row r="271" spans="1:10">
      <c r="A271" s="8" t="s">
        <v>80</v>
      </c>
      <c r="B271" s="19">
        <v>21400000</v>
      </c>
      <c r="C271" s="19">
        <v>19999699</v>
      </c>
      <c r="D271" s="17">
        <f t="shared" si="24"/>
        <v>1400301</v>
      </c>
      <c r="E271" s="2">
        <f t="shared" si="23"/>
        <v>7.0016103742361321E-2</v>
      </c>
      <c r="F271" s="13" t="s">
        <v>515</v>
      </c>
      <c r="G271" s="107" t="s">
        <v>475</v>
      </c>
      <c r="H271" s="20" t="s">
        <v>38</v>
      </c>
      <c r="I271" s="32"/>
      <c r="J271" s="128"/>
    </row>
    <row r="272" spans="1:10">
      <c r="A272" s="8" t="s">
        <v>516</v>
      </c>
      <c r="B272" s="19">
        <v>9800000</v>
      </c>
      <c r="C272" s="19">
        <v>8820000</v>
      </c>
      <c r="D272" s="17">
        <f t="shared" si="24"/>
        <v>980000</v>
      </c>
      <c r="E272" s="2">
        <f t="shared" si="23"/>
        <v>0.1111111111111111</v>
      </c>
      <c r="F272" s="13" t="s">
        <v>517</v>
      </c>
      <c r="G272" s="107" t="s">
        <v>475</v>
      </c>
      <c r="H272" s="20" t="s">
        <v>63</v>
      </c>
      <c r="I272" s="32"/>
      <c r="J272" s="128"/>
    </row>
    <row r="273" spans="1:10">
      <c r="A273" s="8" t="s">
        <v>518</v>
      </c>
      <c r="B273" s="19">
        <v>781000</v>
      </c>
      <c r="C273" s="19">
        <v>580000</v>
      </c>
      <c r="D273" s="17">
        <f t="shared" si="24"/>
        <v>201000</v>
      </c>
      <c r="E273" s="2">
        <f t="shared" si="23"/>
        <v>0.34655172413793106</v>
      </c>
      <c r="F273" s="13" t="s">
        <v>519</v>
      </c>
      <c r="G273" s="107" t="s">
        <v>475</v>
      </c>
      <c r="H273" s="20"/>
      <c r="I273" s="32" t="s">
        <v>520</v>
      </c>
      <c r="J273" s="128"/>
    </row>
    <row r="274" spans="1:10">
      <c r="A274" s="8" t="s">
        <v>350</v>
      </c>
      <c r="B274" s="19">
        <v>17056000</v>
      </c>
      <c r="C274" s="19">
        <v>13592500</v>
      </c>
      <c r="D274" s="17">
        <f t="shared" si="24"/>
        <v>3463500</v>
      </c>
      <c r="E274" s="2">
        <f t="shared" si="23"/>
        <v>0.25480963766783155</v>
      </c>
      <c r="F274" s="13" t="s">
        <v>521</v>
      </c>
      <c r="G274" s="107" t="s">
        <v>475</v>
      </c>
      <c r="H274" s="20"/>
      <c r="I274" s="32" t="s">
        <v>407</v>
      </c>
      <c r="J274" s="128"/>
    </row>
    <row r="275" spans="1:10">
      <c r="A275" s="8" t="s">
        <v>285</v>
      </c>
      <c r="B275" s="19">
        <v>911830</v>
      </c>
      <c r="C275" s="19">
        <v>805500</v>
      </c>
      <c r="D275" s="17">
        <f t="shared" si="24"/>
        <v>106330</v>
      </c>
      <c r="E275" s="2">
        <f t="shared" si="23"/>
        <v>0.13200496585971447</v>
      </c>
      <c r="F275" s="13" t="s">
        <v>522</v>
      </c>
      <c r="G275" s="107" t="s">
        <v>475</v>
      </c>
      <c r="H275" s="20" t="s">
        <v>523</v>
      </c>
      <c r="I275" s="32" t="s">
        <v>524</v>
      </c>
      <c r="J275" s="128"/>
    </row>
    <row r="276" spans="1:10">
      <c r="A276" s="8" t="s">
        <v>525</v>
      </c>
      <c r="B276" s="19">
        <v>780000</v>
      </c>
      <c r="C276" s="19">
        <v>710000</v>
      </c>
      <c r="D276" s="17">
        <f t="shared" si="24"/>
        <v>70000</v>
      </c>
      <c r="E276" s="2">
        <f t="shared" si="23"/>
        <v>9.8591549295774641E-2</v>
      </c>
      <c r="F276" s="13" t="s">
        <v>526</v>
      </c>
      <c r="G276" s="107" t="s">
        <v>475</v>
      </c>
      <c r="H276" s="20" t="s">
        <v>124</v>
      </c>
      <c r="I276" s="32"/>
      <c r="J276" s="128"/>
    </row>
    <row r="277" spans="1:10">
      <c r="A277" s="8" t="s">
        <v>527</v>
      </c>
      <c r="B277" s="19">
        <v>3366700</v>
      </c>
      <c r="C277" s="19">
        <v>2892300</v>
      </c>
      <c r="D277" s="17">
        <f t="shared" si="24"/>
        <v>474400</v>
      </c>
      <c r="E277" s="2">
        <f t="shared" si="23"/>
        <v>0.16402171282370431</v>
      </c>
      <c r="F277" s="13" t="s">
        <v>528</v>
      </c>
      <c r="G277" s="107" t="s">
        <v>475</v>
      </c>
      <c r="H277" s="20" t="s">
        <v>30</v>
      </c>
      <c r="I277" s="32" t="s">
        <v>454</v>
      </c>
      <c r="J277" s="128"/>
    </row>
    <row r="278" spans="1:10">
      <c r="A278" s="8" t="s">
        <v>277</v>
      </c>
      <c r="B278" s="19">
        <v>3180000</v>
      </c>
      <c r="C278" s="19">
        <v>3088000</v>
      </c>
      <c r="D278" s="17">
        <f t="shared" si="24"/>
        <v>92000</v>
      </c>
      <c r="E278" s="2">
        <f t="shared" si="23"/>
        <v>2.9792746113989636E-2</v>
      </c>
      <c r="F278" s="13" t="s">
        <v>529</v>
      </c>
      <c r="G278" s="107" t="s">
        <v>475</v>
      </c>
      <c r="H278" s="20" t="s">
        <v>63</v>
      </c>
      <c r="I278" s="32" t="s">
        <v>199</v>
      </c>
      <c r="J278" s="128"/>
    </row>
    <row r="279" spans="1:10">
      <c r="A279" s="8" t="s">
        <v>530</v>
      </c>
      <c r="B279" s="19">
        <v>3530000</v>
      </c>
      <c r="C279" s="19">
        <v>3361000</v>
      </c>
      <c r="D279" s="17">
        <f t="shared" si="24"/>
        <v>169000</v>
      </c>
      <c r="E279" s="2">
        <f t="shared" si="23"/>
        <v>5.0282653972032132E-2</v>
      </c>
      <c r="F279" s="13" t="s">
        <v>531</v>
      </c>
      <c r="G279" s="107" t="s">
        <v>475</v>
      </c>
      <c r="H279" s="20" t="s">
        <v>63</v>
      </c>
      <c r="I279" s="32" t="s">
        <v>532</v>
      </c>
      <c r="J279" s="128"/>
    </row>
    <row r="280" spans="1:10">
      <c r="A280" s="8" t="s">
        <v>530</v>
      </c>
      <c r="B280" s="19">
        <v>836200</v>
      </c>
      <c r="C280" s="19">
        <v>763000</v>
      </c>
      <c r="D280" s="17">
        <f t="shared" si="24"/>
        <v>73200</v>
      </c>
      <c r="E280" s="2">
        <f t="shared" si="23"/>
        <v>9.5937090432503272E-2</v>
      </c>
      <c r="F280" s="13" t="s">
        <v>533</v>
      </c>
      <c r="G280" s="107" t="s">
        <v>475</v>
      </c>
      <c r="H280" s="20" t="s">
        <v>63</v>
      </c>
      <c r="I280" s="32" t="s">
        <v>199</v>
      </c>
      <c r="J280" s="128"/>
    </row>
    <row r="281" spans="1:10">
      <c r="A281" s="8" t="s">
        <v>530</v>
      </c>
      <c r="B281" s="19">
        <v>2112000</v>
      </c>
      <c r="C281" s="19">
        <v>1938000</v>
      </c>
      <c r="D281" s="17">
        <f t="shared" si="24"/>
        <v>174000</v>
      </c>
      <c r="E281" s="2">
        <f t="shared" si="23"/>
        <v>8.9783281733746126E-2</v>
      </c>
      <c r="F281" s="13" t="s">
        <v>534</v>
      </c>
      <c r="G281" s="107" t="s">
        <v>475</v>
      </c>
      <c r="H281" s="20" t="s">
        <v>63</v>
      </c>
      <c r="I281" s="32" t="s">
        <v>199</v>
      </c>
      <c r="J281" s="128"/>
    </row>
    <row r="282" spans="1:10">
      <c r="A282" s="8" t="s">
        <v>535</v>
      </c>
      <c r="B282" s="19">
        <v>540772</v>
      </c>
      <c r="C282" s="19">
        <v>499150</v>
      </c>
      <c r="D282" s="17">
        <f t="shared" si="24"/>
        <v>41622</v>
      </c>
      <c r="E282" s="2">
        <f t="shared" si="23"/>
        <v>8.3385755784834217E-2</v>
      </c>
      <c r="F282" s="13" t="s">
        <v>536</v>
      </c>
      <c r="G282" s="107" t="s">
        <v>475</v>
      </c>
      <c r="H282" s="20" t="s">
        <v>537</v>
      </c>
      <c r="I282" s="32"/>
      <c r="J282" s="128"/>
    </row>
    <row r="283" spans="1:10">
      <c r="A283" s="8" t="s">
        <v>455</v>
      </c>
      <c r="B283" s="19">
        <v>1057000</v>
      </c>
      <c r="C283" s="19">
        <v>1004150</v>
      </c>
      <c r="D283" s="17">
        <f t="shared" si="24"/>
        <v>52850</v>
      </c>
      <c r="E283" s="2">
        <f t="shared" si="23"/>
        <v>5.2631578947368418E-2</v>
      </c>
      <c r="F283" s="13" t="s">
        <v>538</v>
      </c>
      <c r="G283" s="107" t="s">
        <v>475</v>
      </c>
      <c r="H283" s="21" t="s">
        <v>63</v>
      </c>
      <c r="I283" s="32" t="s">
        <v>199</v>
      </c>
      <c r="J283" s="128"/>
    </row>
    <row r="284" spans="1:10">
      <c r="A284" s="8" t="s">
        <v>61</v>
      </c>
      <c r="B284" s="19">
        <v>13449000</v>
      </c>
      <c r="C284" s="19">
        <v>12776550</v>
      </c>
      <c r="D284" s="17">
        <f t="shared" si="24"/>
        <v>672450</v>
      </c>
      <c r="E284" s="2">
        <f t="shared" si="23"/>
        <v>5.2631578947368418E-2</v>
      </c>
      <c r="F284" s="13" t="s">
        <v>539</v>
      </c>
      <c r="G284" s="107" t="s">
        <v>475</v>
      </c>
      <c r="H284" s="20" t="s">
        <v>63</v>
      </c>
      <c r="I284" s="32" t="s">
        <v>199</v>
      </c>
      <c r="J284" s="128"/>
    </row>
    <row r="285" spans="1:10">
      <c r="A285" s="8" t="s">
        <v>363</v>
      </c>
      <c r="B285" s="19">
        <v>6800000</v>
      </c>
      <c r="C285" s="19">
        <v>6460000</v>
      </c>
      <c r="D285" s="17">
        <f t="shared" si="24"/>
        <v>340000</v>
      </c>
      <c r="E285" s="2">
        <f t="shared" si="23"/>
        <v>5.2631578947368418E-2</v>
      </c>
      <c r="F285" s="13" t="s">
        <v>540</v>
      </c>
      <c r="G285" s="107" t="s">
        <v>475</v>
      </c>
      <c r="H285" s="20" t="s">
        <v>63</v>
      </c>
      <c r="I285" s="32"/>
      <c r="J285" s="128"/>
    </row>
    <row r="286" spans="1:10">
      <c r="A286" s="8" t="s">
        <v>541</v>
      </c>
      <c r="B286" s="19">
        <v>90000</v>
      </c>
      <c r="C286" s="19">
        <v>78000</v>
      </c>
      <c r="D286" s="17">
        <f t="shared" si="24"/>
        <v>12000</v>
      </c>
      <c r="E286" s="2">
        <f t="shared" si="23"/>
        <v>0.15384615384615385</v>
      </c>
      <c r="F286" s="13" t="s">
        <v>542</v>
      </c>
      <c r="G286" s="107" t="s">
        <v>475</v>
      </c>
      <c r="H286" s="20" t="s">
        <v>30</v>
      </c>
      <c r="I286" s="32" t="s">
        <v>543</v>
      </c>
      <c r="J286" s="128"/>
    </row>
    <row r="287" spans="1:10">
      <c r="A287" s="8" t="s">
        <v>541</v>
      </c>
      <c r="B287" s="19">
        <v>888000</v>
      </c>
      <c r="C287" s="19">
        <v>792000</v>
      </c>
      <c r="D287" s="17">
        <f t="shared" si="24"/>
        <v>96000</v>
      </c>
      <c r="E287" s="2">
        <f t="shared" si="23"/>
        <v>0.12121212121212122</v>
      </c>
      <c r="F287" s="13" t="s">
        <v>544</v>
      </c>
      <c r="G287" s="107" t="s">
        <v>475</v>
      </c>
      <c r="H287" s="20" t="s">
        <v>30</v>
      </c>
      <c r="I287" s="32" t="s">
        <v>454</v>
      </c>
      <c r="J287" s="128"/>
    </row>
    <row r="288" spans="1:10">
      <c r="A288" s="9" t="s">
        <v>545</v>
      </c>
      <c r="B288" s="22">
        <v>2198000</v>
      </c>
      <c r="C288" s="22">
        <v>2088100</v>
      </c>
      <c r="D288" s="35">
        <f t="shared" si="24"/>
        <v>109900</v>
      </c>
      <c r="E288" s="3">
        <f t="shared" si="23"/>
        <v>5.2631578947368418E-2</v>
      </c>
      <c r="F288" s="14" t="s">
        <v>546</v>
      </c>
      <c r="G288" s="107" t="s">
        <v>475</v>
      </c>
      <c r="H288" s="23" t="s">
        <v>63</v>
      </c>
      <c r="I288" s="34" t="s">
        <v>199</v>
      </c>
      <c r="J288" s="129"/>
    </row>
    <row r="289" spans="1:10">
      <c r="A289" s="146" t="s">
        <v>547</v>
      </c>
      <c r="B289" s="147"/>
      <c r="C289" s="147"/>
      <c r="D289" s="147"/>
      <c r="E289" s="147"/>
      <c r="F289" s="147"/>
      <c r="G289" s="147"/>
      <c r="H289" s="147"/>
      <c r="I289" s="147"/>
      <c r="J289" s="148"/>
    </row>
    <row r="290" spans="1:10">
      <c r="A290" s="7" t="s">
        <v>548</v>
      </c>
      <c r="B290" s="17">
        <v>6050000</v>
      </c>
      <c r="C290" s="17">
        <v>5566000</v>
      </c>
      <c r="D290" s="17">
        <f t="shared" ref="D290" si="25">B290-C290</f>
        <v>484000</v>
      </c>
      <c r="E290" s="1">
        <f t="shared" ref="E290" si="26">(B290-C290)/C290</f>
        <v>8.6956521739130432E-2</v>
      </c>
      <c r="F290" s="12" t="s">
        <v>549</v>
      </c>
      <c r="G290" s="108" t="s">
        <v>550</v>
      </c>
      <c r="H290" s="18" t="s">
        <v>30</v>
      </c>
      <c r="I290" s="33" t="s">
        <v>551</v>
      </c>
      <c r="J290" s="142">
        <f>SUM(D290:D310)</f>
        <v>7091438</v>
      </c>
    </row>
    <row r="291" spans="1:10">
      <c r="A291" s="8" t="s">
        <v>257</v>
      </c>
      <c r="B291" s="19">
        <v>353600</v>
      </c>
      <c r="C291" s="19">
        <v>342000</v>
      </c>
      <c r="D291" s="17">
        <f t="shared" si="24"/>
        <v>11600</v>
      </c>
      <c r="E291" s="2">
        <f t="shared" si="23"/>
        <v>3.3918128654970757E-2</v>
      </c>
      <c r="F291" s="13" t="s">
        <v>552</v>
      </c>
      <c r="G291" s="108" t="s">
        <v>550</v>
      </c>
      <c r="H291" s="20" t="s">
        <v>348</v>
      </c>
      <c r="I291" s="32" t="s">
        <v>553</v>
      </c>
      <c r="J291" s="142"/>
    </row>
    <row r="292" spans="1:10">
      <c r="A292" s="8" t="s">
        <v>389</v>
      </c>
      <c r="B292" s="19">
        <v>672400</v>
      </c>
      <c r="C292" s="19">
        <v>630400</v>
      </c>
      <c r="D292" s="17">
        <f t="shared" si="24"/>
        <v>42000</v>
      </c>
      <c r="E292" s="2">
        <f t="shared" si="23"/>
        <v>6.6624365482233508E-2</v>
      </c>
      <c r="F292" s="13" t="s">
        <v>554</v>
      </c>
      <c r="G292" s="108" t="s">
        <v>550</v>
      </c>
      <c r="H292" s="20" t="s">
        <v>348</v>
      </c>
      <c r="I292" s="32" t="s">
        <v>555</v>
      </c>
      <c r="J292" s="142"/>
    </row>
    <row r="293" spans="1:10">
      <c r="A293" s="8" t="s">
        <v>389</v>
      </c>
      <c r="B293" s="19">
        <v>1960000</v>
      </c>
      <c r="C293" s="19">
        <v>1840000</v>
      </c>
      <c r="D293" s="17">
        <f t="shared" si="24"/>
        <v>120000</v>
      </c>
      <c r="E293" s="2">
        <f t="shared" si="23"/>
        <v>6.5217391304347824E-2</v>
      </c>
      <c r="F293" s="13" t="s">
        <v>556</v>
      </c>
      <c r="G293" s="108" t="s">
        <v>550</v>
      </c>
      <c r="H293" s="20" t="s">
        <v>448</v>
      </c>
      <c r="I293" s="32" t="s">
        <v>557</v>
      </c>
      <c r="J293" s="142"/>
    </row>
    <row r="294" spans="1:10">
      <c r="A294" s="8" t="s">
        <v>224</v>
      </c>
      <c r="B294" s="19">
        <v>7196000</v>
      </c>
      <c r="C294" s="19">
        <v>6689000</v>
      </c>
      <c r="D294" s="17">
        <f t="shared" si="24"/>
        <v>507000</v>
      </c>
      <c r="E294" s="2">
        <f t="shared" si="23"/>
        <v>7.5796083121542832E-2</v>
      </c>
      <c r="F294" s="13" t="s">
        <v>558</v>
      </c>
      <c r="G294" s="108" t="s">
        <v>550</v>
      </c>
      <c r="H294" s="20" t="s">
        <v>63</v>
      </c>
      <c r="I294" s="32" t="s">
        <v>559</v>
      </c>
      <c r="J294" s="142"/>
    </row>
    <row r="295" spans="1:10">
      <c r="A295" s="8" t="s">
        <v>560</v>
      </c>
      <c r="B295" s="19">
        <v>5337500</v>
      </c>
      <c r="C295" s="19">
        <v>5232500</v>
      </c>
      <c r="D295" s="17">
        <f t="shared" si="24"/>
        <v>105000</v>
      </c>
      <c r="E295" s="2">
        <f t="shared" si="23"/>
        <v>2.0066889632107024E-2</v>
      </c>
      <c r="F295" s="13" t="s">
        <v>561</v>
      </c>
      <c r="G295" s="108" t="s">
        <v>550</v>
      </c>
      <c r="H295" s="20" t="s">
        <v>448</v>
      </c>
      <c r="I295" s="32"/>
      <c r="J295" s="142"/>
    </row>
    <row r="296" spans="1:10">
      <c r="A296" s="8" t="s">
        <v>562</v>
      </c>
      <c r="B296" s="19">
        <v>5526000</v>
      </c>
      <c r="C296" s="19">
        <v>4860000</v>
      </c>
      <c r="D296" s="17">
        <f t="shared" si="24"/>
        <v>666000</v>
      </c>
      <c r="E296" s="2">
        <f t="shared" si="23"/>
        <v>0.13703703703703704</v>
      </c>
      <c r="F296" s="13" t="s">
        <v>563</v>
      </c>
      <c r="G296" s="108" t="s">
        <v>550</v>
      </c>
      <c r="H296" s="20" t="s">
        <v>30</v>
      </c>
      <c r="I296" s="32" t="s">
        <v>564</v>
      </c>
      <c r="J296" s="142"/>
    </row>
    <row r="297" spans="1:10">
      <c r="A297" s="8" t="s">
        <v>350</v>
      </c>
      <c r="B297" s="19">
        <v>5922000</v>
      </c>
      <c r="C297" s="19">
        <v>5205500</v>
      </c>
      <c r="D297" s="17">
        <f t="shared" si="24"/>
        <v>716500</v>
      </c>
      <c r="E297" s="2">
        <f t="shared" si="23"/>
        <v>0.13764287772548267</v>
      </c>
      <c r="F297" s="13" t="s">
        <v>565</v>
      </c>
      <c r="G297" s="108" t="s">
        <v>550</v>
      </c>
      <c r="H297" s="20" t="s">
        <v>566</v>
      </c>
      <c r="I297" s="32" t="s">
        <v>567</v>
      </c>
      <c r="J297" s="142"/>
    </row>
    <row r="298" spans="1:10">
      <c r="A298" s="8" t="s">
        <v>489</v>
      </c>
      <c r="B298" s="19">
        <v>1892340</v>
      </c>
      <c r="C298" s="19">
        <v>1080000</v>
      </c>
      <c r="D298" s="17">
        <f t="shared" si="24"/>
        <v>812340</v>
      </c>
      <c r="E298" s="2">
        <f t="shared" si="23"/>
        <v>0.75216666666666665</v>
      </c>
      <c r="F298" s="13" t="s">
        <v>568</v>
      </c>
      <c r="G298" s="108" t="s">
        <v>550</v>
      </c>
      <c r="H298" s="20" t="s">
        <v>569</v>
      </c>
      <c r="I298" s="32"/>
      <c r="J298" s="142"/>
    </row>
    <row r="299" spans="1:10">
      <c r="A299" s="8" t="s">
        <v>424</v>
      </c>
      <c r="B299" s="19">
        <v>6160000</v>
      </c>
      <c r="C299" s="19">
        <v>5600000</v>
      </c>
      <c r="D299" s="17">
        <f t="shared" si="24"/>
        <v>560000</v>
      </c>
      <c r="E299" s="2">
        <f t="shared" si="23"/>
        <v>0.1</v>
      </c>
      <c r="F299" s="13" t="s">
        <v>570</v>
      </c>
      <c r="G299" s="108" t="s">
        <v>550</v>
      </c>
      <c r="H299" s="20" t="s">
        <v>30</v>
      </c>
      <c r="I299" s="32" t="s">
        <v>320</v>
      </c>
      <c r="J299" s="142"/>
    </row>
    <row r="300" spans="1:10">
      <c r="A300" s="8" t="s">
        <v>571</v>
      </c>
      <c r="B300" s="19">
        <v>4571500</v>
      </c>
      <c r="C300" s="19">
        <v>4088000</v>
      </c>
      <c r="D300" s="17">
        <f t="shared" si="24"/>
        <v>483500</v>
      </c>
      <c r="E300" s="2">
        <f t="shared" si="23"/>
        <v>0.11827299412915851</v>
      </c>
      <c r="F300" s="13" t="s">
        <v>572</v>
      </c>
      <c r="G300" s="108" t="s">
        <v>550</v>
      </c>
      <c r="H300" s="20" t="s">
        <v>391</v>
      </c>
      <c r="I300" s="32"/>
      <c r="J300" s="142"/>
    </row>
    <row r="301" spans="1:10">
      <c r="A301" s="8" t="s">
        <v>573</v>
      </c>
      <c r="B301" s="19">
        <v>5625400</v>
      </c>
      <c r="C301" s="19">
        <v>5342000</v>
      </c>
      <c r="D301" s="17">
        <f t="shared" si="24"/>
        <v>283400</v>
      </c>
      <c r="E301" s="2">
        <f t="shared" si="23"/>
        <v>5.3051291651067013E-2</v>
      </c>
      <c r="F301" s="13" t="s">
        <v>574</v>
      </c>
      <c r="G301" s="108" t="s">
        <v>550</v>
      </c>
      <c r="H301" s="20" t="s">
        <v>63</v>
      </c>
      <c r="I301" s="32"/>
      <c r="J301" s="142"/>
    </row>
    <row r="302" spans="1:10">
      <c r="A302" s="8" t="s">
        <v>575</v>
      </c>
      <c r="B302" s="19">
        <v>5400000</v>
      </c>
      <c r="C302" s="19">
        <v>5190000</v>
      </c>
      <c r="D302" s="17">
        <f t="shared" si="24"/>
        <v>210000</v>
      </c>
      <c r="E302" s="2">
        <f t="shared" si="23"/>
        <v>4.046242774566474E-2</v>
      </c>
      <c r="F302" s="13" t="s">
        <v>576</v>
      </c>
      <c r="G302" s="108" t="s">
        <v>550</v>
      </c>
      <c r="H302" s="20" t="s">
        <v>124</v>
      </c>
      <c r="I302" s="32"/>
      <c r="J302" s="142"/>
    </row>
    <row r="303" spans="1:10">
      <c r="A303" s="8" t="s">
        <v>577</v>
      </c>
      <c r="B303" s="19">
        <v>553299.43999999994</v>
      </c>
      <c r="C303" s="19">
        <v>497969.44</v>
      </c>
      <c r="D303" s="17">
        <f t="shared" si="24"/>
        <v>55329.999999999942</v>
      </c>
      <c r="E303" s="2">
        <f t="shared" si="23"/>
        <v>0.11111123606300005</v>
      </c>
      <c r="F303" s="13" t="s">
        <v>578</v>
      </c>
      <c r="G303" s="108" t="s">
        <v>550</v>
      </c>
      <c r="H303" s="20" t="s">
        <v>391</v>
      </c>
      <c r="I303" s="32"/>
      <c r="J303" s="142"/>
    </row>
    <row r="304" spans="1:10">
      <c r="A304" s="8" t="s">
        <v>579</v>
      </c>
      <c r="B304" s="19">
        <v>4336400</v>
      </c>
      <c r="C304" s="19">
        <v>4312400</v>
      </c>
      <c r="D304" s="17">
        <f t="shared" si="24"/>
        <v>24000</v>
      </c>
      <c r="E304" s="2">
        <f t="shared" si="23"/>
        <v>5.5653464428160656E-3</v>
      </c>
      <c r="F304" s="13" t="s">
        <v>580</v>
      </c>
      <c r="G304" s="108" t="s">
        <v>550</v>
      </c>
      <c r="H304" s="20" t="s">
        <v>63</v>
      </c>
      <c r="I304" s="32"/>
      <c r="J304" s="142"/>
    </row>
    <row r="305" spans="1:10">
      <c r="A305" s="8" t="s">
        <v>186</v>
      </c>
      <c r="B305" s="19">
        <v>3534858</v>
      </c>
      <c r="C305" s="19">
        <v>3334230</v>
      </c>
      <c r="D305" s="17">
        <f t="shared" si="24"/>
        <v>200628</v>
      </c>
      <c r="E305" s="2">
        <f t="shared" si="23"/>
        <v>6.0172213674521552E-2</v>
      </c>
      <c r="F305" s="13" t="s">
        <v>581</v>
      </c>
      <c r="G305" s="108" t="s">
        <v>550</v>
      </c>
      <c r="H305" s="20" t="s">
        <v>38</v>
      </c>
      <c r="I305" s="32"/>
      <c r="J305" s="142"/>
    </row>
    <row r="306" spans="1:10">
      <c r="A306" s="8" t="s">
        <v>582</v>
      </c>
      <c r="B306" s="19">
        <v>582450</v>
      </c>
      <c r="C306" s="19">
        <v>529500</v>
      </c>
      <c r="D306" s="17">
        <f t="shared" si="24"/>
        <v>52950</v>
      </c>
      <c r="E306" s="2">
        <f t="shared" si="23"/>
        <v>0.1</v>
      </c>
      <c r="F306" s="13" t="s">
        <v>583</v>
      </c>
      <c r="G306" s="108" t="s">
        <v>550</v>
      </c>
      <c r="H306" s="20" t="s">
        <v>584</v>
      </c>
      <c r="I306" s="32" t="s">
        <v>454</v>
      </c>
      <c r="J306" s="142"/>
    </row>
    <row r="307" spans="1:10">
      <c r="A307" s="8" t="s">
        <v>582</v>
      </c>
      <c r="B307" s="19">
        <v>5242500</v>
      </c>
      <c r="C307" s="19">
        <v>4765500</v>
      </c>
      <c r="D307" s="17">
        <f t="shared" si="24"/>
        <v>477000</v>
      </c>
      <c r="E307" s="2">
        <f t="shared" si="23"/>
        <v>0.10009442870632672</v>
      </c>
      <c r="F307" s="13" t="s">
        <v>585</v>
      </c>
      <c r="G307" s="108" t="s">
        <v>550</v>
      </c>
      <c r="H307" s="20" t="s">
        <v>584</v>
      </c>
      <c r="I307" s="32" t="s">
        <v>454</v>
      </c>
      <c r="J307" s="142"/>
    </row>
    <row r="308" spans="1:10">
      <c r="A308" s="8" t="s">
        <v>224</v>
      </c>
      <c r="B308" s="19">
        <v>1037890</v>
      </c>
      <c r="C308" s="19">
        <v>992700</v>
      </c>
      <c r="D308" s="17">
        <f t="shared" si="24"/>
        <v>45190</v>
      </c>
      <c r="E308" s="2">
        <f t="shared" si="23"/>
        <v>4.552231288405359E-2</v>
      </c>
      <c r="F308" s="13" t="s">
        <v>586</v>
      </c>
      <c r="G308" s="108" t="s">
        <v>550</v>
      </c>
      <c r="H308" s="20" t="s">
        <v>587</v>
      </c>
      <c r="I308" s="32" t="s">
        <v>588</v>
      </c>
      <c r="J308" s="142"/>
    </row>
    <row r="309" spans="1:10">
      <c r="A309" s="8" t="s">
        <v>589</v>
      </c>
      <c r="B309" s="19">
        <v>490000</v>
      </c>
      <c r="C309" s="19">
        <v>325000</v>
      </c>
      <c r="D309" s="17">
        <f t="shared" si="24"/>
        <v>165000</v>
      </c>
      <c r="E309" s="2">
        <f t="shared" si="23"/>
        <v>0.50769230769230766</v>
      </c>
      <c r="F309" s="13" t="s">
        <v>590</v>
      </c>
      <c r="G309" s="108" t="s">
        <v>550</v>
      </c>
      <c r="H309" s="20" t="s">
        <v>294</v>
      </c>
      <c r="I309" s="32"/>
      <c r="J309" s="142"/>
    </row>
    <row r="310" spans="1:10">
      <c r="A310" s="9" t="s">
        <v>527</v>
      </c>
      <c r="B310" s="22">
        <v>8310000</v>
      </c>
      <c r="C310" s="22">
        <v>7240000</v>
      </c>
      <c r="D310" s="35">
        <f t="shared" si="24"/>
        <v>1070000</v>
      </c>
      <c r="E310" s="3">
        <f t="shared" si="23"/>
        <v>0.1477900552486188</v>
      </c>
      <c r="F310" s="14" t="s">
        <v>591</v>
      </c>
      <c r="G310" s="108" t="s">
        <v>550</v>
      </c>
      <c r="H310" s="23" t="s">
        <v>30</v>
      </c>
      <c r="I310" s="34" t="s">
        <v>592</v>
      </c>
      <c r="J310" s="142"/>
    </row>
    <row r="311" spans="1:10">
      <c r="A311" s="134" t="s">
        <v>593</v>
      </c>
      <c r="B311" s="134"/>
      <c r="C311" s="134"/>
      <c r="D311" s="134"/>
      <c r="E311" s="134"/>
      <c r="F311" s="134"/>
      <c r="G311" s="134"/>
      <c r="H311" s="134"/>
      <c r="I311" s="134"/>
      <c r="J311" s="152"/>
    </row>
    <row r="312" spans="1:10">
      <c r="A312" s="7" t="s">
        <v>398</v>
      </c>
      <c r="B312" s="17">
        <v>6372000</v>
      </c>
      <c r="C312" s="17">
        <v>5640000</v>
      </c>
      <c r="D312" s="17">
        <f t="shared" si="24"/>
        <v>732000</v>
      </c>
      <c r="E312" s="1">
        <f t="shared" si="23"/>
        <v>0.12978723404255318</v>
      </c>
      <c r="F312" s="12" t="s">
        <v>594</v>
      </c>
      <c r="G312" s="108" t="s">
        <v>595</v>
      </c>
      <c r="H312" s="18" t="s">
        <v>383</v>
      </c>
      <c r="I312" s="33" t="s">
        <v>596</v>
      </c>
      <c r="J312" s="124">
        <f>SUM(D312:D348)</f>
        <v>55794224</v>
      </c>
    </row>
    <row r="313" spans="1:10">
      <c r="A313" s="8" t="s">
        <v>597</v>
      </c>
      <c r="B313" s="19">
        <v>82383100</v>
      </c>
      <c r="C313" s="19">
        <v>69363484</v>
      </c>
      <c r="D313" s="17">
        <f t="shared" si="24"/>
        <v>13019616</v>
      </c>
      <c r="E313" s="2">
        <f t="shared" si="23"/>
        <v>0.1877012982796539</v>
      </c>
      <c r="F313" s="13" t="s">
        <v>598</v>
      </c>
      <c r="G313" s="108" t="s">
        <v>595</v>
      </c>
      <c r="H313" s="20" t="s">
        <v>38</v>
      </c>
      <c r="I313" s="32"/>
      <c r="J313" s="124"/>
    </row>
    <row r="314" spans="1:10">
      <c r="A314" s="8" t="s">
        <v>599</v>
      </c>
      <c r="B314" s="19">
        <v>1300000</v>
      </c>
      <c r="C314" s="19">
        <v>1100000</v>
      </c>
      <c r="D314" s="17">
        <f t="shared" si="24"/>
        <v>200000</v>
      </c>
      <c r="E314" s="2">
        <f t="shared" si="23"/>
        <v>0.18181818181818182</v>
      </c>
      <c r="F314" s="13" t="s">
        <v>600</v>
      </c>
      <c r="G314" s="108" t="s">
        <v>595</v>
      </c>
      <c r="H314" s="20" t="s">
        <v>334</v>
      </c>
      <c r="I314" s="32" t="s">
        <v>601</v>
      </c>
      <c r="J314" s="124"/>
    </row>
    <row r="315" spans="1:10">
      <c r="A315" s="8" t="s">
        <v>602</v>
      </c>
      <c r="B315" s="19">
        <v>1850000</v>
      </c>
      <c r="C315" s="19">
        <v>1000000</v>
      </c>
      <c r="D315" s="17">
        <f t="shared" si="24"/>
        <v>850000</v>
      </c>
      <c r="E315" s="2">
        <f t="shared" si="23"/>
        <v>0.85</v>
      </c>
      <c r="F315" s="13" t="s">
        <v>603</v>
      </c>
      <c r="G315" s="108" t="s">
        <v>595</v>
      </c>
      <c r="H315" s="20" t="s">
        <v>63</v>
      </c>
      <c r="I315" s="32"/>
      <c r="J315" s="124"/>
    </row>
    <row r="316" spans="1:10">
      <c r="A316" s="8" t="s">
        <v>65</v>
      </c>
      <c r="B316" s="19">
        <v>20160000</v>
      </c>
      <c r="C316" s="19">
        <v>17136000</v>
      </c>
      <c r="D316" s="17">
        <f t="shared" si="24"/>
        <v>3024000</v>
      </c>
      <c r="E316" s="2">
        <f t="shared" si="23"/>
        <v>0.17647058823529413</v>
      </c>
      <c r="F316" s="13" t="s">
        <v>66</v>
      </c>
      <c r="G316" s="108" t="s">
        <v>595</v>
      </c>
      <c r="H316" s="20" t="s">
        <v>21</v>
      </c>
      <c r="I316" s="32"/>
      <c r="J316" s="124"/>
    </row>
    <row r="317" spans="1:10">
      <c r="A317" s="8" t="s">
        <v>545</v>
      </c>
      <c r="B317" s="19">
        <v>1875000</v>
      </c>
      <c r="C317" s="19">
        <v>1743000</v>
      </c>
      <c r="D317" s="17">
        <f t="shared" si="24"/>
        <v>132000</v>
      </c>
      <c r="E317" s="2">
        <f t="shared" si="23"/>
        <v>7.5731497418244406E-2</v>
      </c>
      <c r="F317" s="13" t="s">
        <v>604</v>
      </c>
      <c r="G317" s="108" t="s">
        <v>595</v>
      </c>
      <c r="H317" s="20" t="s">
        <v>63</v>
      </c>
      <c r="I317" s="32"/>
      <c r="J317" s="124"/>
    </row>
    <row r="318" spans="1:10">
      <c r="A318" s="8" t="s">
        <v>174</v>
      </c>
      <c r="B318" s="19">
        <v>1591650</v>
      </c>
      <c r="C318" s="19">
        <v>1512160</v>
      </c>
      <c r="D318" s="17">
        <f t="shared" si="24"/>
        <v>79490</v>
      </c>
      <c r="E318" s="2">
        <f t="shared" si="23"/>
        <v>5.2567188657284943E-2</v>
      </c>
      <c r="F318" s="13" t="s">
        <v>605</v>
      </c>
      <c r="G318" s="108" t="s">
        <v>595</v>
      </c>
      <c r="H318" s="20" t="s">
        <v>30</v>
      </c>
      <c r="I318" s="32" t="s">
        <v>84</v>
      </c>
      <c r="J318" s="124"/>
    </row>
    <row r="319" spans="1:10">
      <c r="A319" s="8" t="s">
        <v>148</v>
      </c>
      <c r="B319" s="19">
        <v>551760</v>
      </c>
      <c r="C319" s="19">
        <v>517275</v>
      </c>
      <c r="D319" s="17">
        <f t="shared" si="24"/>
        <v>34485</v>
      </c>
      <c r="E319" s="2">
        <f t="shared" si="23"/>
        <v>6.6666666666666666E-2</v>
      </c>
      <c r="F319" s="13" t="s">
        <v>606</v>
      </c>
      <c r="G319" s="108" t="s">
        <v>595</v>
      </c>
      <c r="H319" s="20" t="s">
        <v>63</v>
      </c>
      <c r="I319" s="32" t="s">
        <v>199</v>
      </c>
      <c r="J319" s="124"/>
    </row>
    <row r="320" spans="1:10">
      <c r="A320" s="8" t="s">
        <v>148</v>
      </c>
      <c r="B320" s="19">
        <v>186910</v>
      </c>
      <c r="C320" s="19">
        <v>168219</v>
      </c>
      <c r="D320" s="17">
        <f t="shared" si="24"/>
        <v>18691</v>
      </c>
      <c r="E320" s="2">
        <f t="shared" si="23"/>
        <v>0.1111111111111111</v>
      </c>
      <c r="F320" s="13" t="s">
        <v>607</v>
      </c>
      <c r="G320" s="108" t="s">
        <v>595</v>
      </c>
      <c r="H320" s="20" t="s">
        <v>63</v>
      </c>
      <c r="I320" s="32" t="s">
        <v>199</v>
      </c>
      <c r="J320" s="124"/>
    </row>
    <row r="321" spans="1:10">
      <c r="A321" s="8" t="s">
        <v>148</v>
      </c>
      <c r="B321" s="19">
        <v>250312</v>
      </c>
      <c r="C321" s="19">
        <v>234667</v>
      </c>
      <c r="D321" s="17">
        <f t="shared" si="24"/>
        <v>15645</v>
      </c>
      <c r="E321" s="2">
        <f t="shared" si="23"/>
        <v>6.6668939390711099E-2</v>
      </c>
      <c r="F321" s="13" t="s">
        <v>608</v>
      </c>
      <c r="G321" s="108" t="s">
        <v>595</v>
      </c>
      <c r="H321" s="20" t="s">
        <v>63</v>
      </c>
      <c r="I321" s="32" t="s">
        <v>199</v>
      </c>
      <c r="J321" s="124"/>
    </row>
    <row r="322" spans="1:10">
      <c r="A322" s="8" t="s">
        <v>148</v>
      </c>
      <c r="B322" s="19">
        <v>220800</v>
      </c>
      <c r="C322" s="19">
        <v>207000</v>
      </c>
      <c r="D322" s="17">
        <f t="shared" si="24"/>
        <v>13800</v>
      </c>
      <c r="E322" s="2">
        <f t="shared" ref="E322:E386" si="27">(B322-C322)/C322</f>
        <v>6.6666666666666666E-2</v>
      </c>
      <c r="F322" s="13" t="s">
        <v>609</v>
      </c>
      <c r="G322" s="108" t="s">
        <v>595</v>
      </c>
      <c r="H322" s="20" t="s">
        <v>63</v>
      </c>
      <c r="I322" s="32" t="s">
        <v>199</v>
      </c>
      <c r="J322" s="124"/>
    </row>
    <row r="323" spans="1:10">
      <c r="A323" s="8" t="s">
        <v>148</v>
      </c>
      <c r="B323" s="19">
        <v>473352</v>
      </c>
      <c r="C323" s="19">
        <v>443767</v>
      </c>
      <c r="D323" s="17">
        <f t="shared" si="24"/>
        <v>29585</v>
      </c>
      <c r="E323" s="2">
        <f t="shared" si="27"/>
        <v>6.6667868498558935E-2</v>
      </c>
      <c r="F323" s="13" t="s">
        <v>610</v>
      </c>
      <c r="G323" s="108" t="s">
        <v>595</v>
      </c>
      <c r="H323" s="20" t="s">
        <v>63</v>
      </c>
      <c r="I323" s="32" t="s">
        <v>199</v>
      </c>
      <c r="J323" s="124"/>
    </row>
    <row r="324" spans="1:10">
      <c r="A324" s="8" t="s">
        <v>573</v>
      </c>
      <c r="B324" s="19">
        <v>926500</v>
      </c>
      <c r="C324" s="19">
        <v>855000</v>
      </c>
      <c r="D324" s="17">
        <f t="shared" ref="D324:D388" si="28">B324-C324</f>
        <v>71500</v>
      </c>
      <c r="E324" s="2">
        <f t="shared" si="27"/>
        <v>8.3625730994152048E-2</v>
      </c>
      <c r="F324" s="13" t="s">
        <v>609</v>
      </c>
      <c r="G324" s="108" t="s">
        <v>595</v>
      </c>
      <c r="H324" s="20" t="s">
        <v>63</v>
      </c>
      <c r="I324" s="32" t="s">
        <v>199</v>
      </c>
      <c r="J324" s="124"/>
    </row>
    <row r="325" spans="1:10">
      <c r="A325" s="8" t="s">
        <v>573</v>
      </c>
      <c r="B325" s="19">
        <v>1785400</v>
      </c>
      <c r="C325" s="19">
        <v>1640000</v>
      </c>
      <c r="D325" s="17">
        <f t="shared" si="28"/>
        <v>145400</v>
      </c>
      <c r="E325" s="2">
        <f t="shared" si="27"/>
        <v>8.8658536585365849E-2</v>
      </c>
      <c r="F325" s="13" t="s">
        <v>611</v>
      </c>
      <c r="G325" s="108" t="s">
        <v>595</v>
      </c>
      <c r="H325" s="20" t="s">
        <v>63</v>
      </c>
      <c r="I325" s="32" t="s">
        <v>199</v>
      </c>
      <c r="J325" s="124"/>
    </row>
    <row r="326" spans="1:10">
      <c r="A326" s="8" t="s">
        <v>573</v>
      </c>
      <c r="B326" s="19">
        <v>512600</v>
      </c>
      <c r="C326" s="19">
        <v>470000</v>
      </c>
      <c r="D326" s="17">
        <f t="shared" si="28"/>
        <v>42600</v>
      </c>
      <c r="E326" s="2">
        <f t="shared" si="27"/>
        <v>9.0638297872340429E-2</v>
      </c>
      <c r="F326" s="13" t="s">
        <v>612</v>
      </c>
      <c r="G326" s="108" t="s">
        <v>595</v>
      </c>
      <c r="H326" s="20" t="s">
        <v>63</v>
      </c>
      <c r="I326" s="32" t="s">
        <v>199</v>
      </c>
      <c r="J326" s="124"/>
    </row>
    <row r="327" spans="1:10">
      <c r="A327" s="8" t="s">
        <v>573</v>
      </c>
      <c r="B327" s="19">
        <v>687500</v>
      </c>
      <c r="C327" s="19">
        <v>625000</v>
      </c>
      <c r="D327" s="17">
        <f t="shared" si="28"/>
        <v>62500</v>
      </c>
      <c r="E327" s="2">
        <f t="shared" si="27"/>
        <v>0.1</v>
      </c>
      <c r="F327" s="13" t="s">
        <v>613</v>
      </c>
      <c r="G327" s="108" t="s">
        <v>595</v>
      </c>
      <c r="H327" s="20" t="s">
        <v>63</v>
      </c>
      <c r="I327" s="32" t="s">
        <v>199</v>
      </c>
      <c r="J327" s="124"/>
    </row>
    <row r="328" spans="1:10">
      <c r="A328" s="8" t="s">
        <v>614</v>
      </c>
      <c r="B328" s="19">
        <v>2512950</v>
      </c>
      <c r="C328" s="19">
        <v>2284500</v>
      </c>
      <c r="D328" s="17">
        <f t="shared" si="28"/>
        <v>228450</v>
      </c>
      <c r="E328" s="2">
        <f t="shared" si="27"/>
        <v>0.1</v>
      </c>
      <c r="F328" s="13" t="s">
        <v>615</v>
      </c>
      <c r="G328" s="108" t="s">
        <v>595</v>
      </c>
      <c r="H328" s="20" t="s">
        <v>348</v>
      </c>
      <c r="I328" s="32" t="s">
        <v>616</v>
      </c>
      <c r="J328" s="124"/>
    </row>
    <row r="329" spans="1:10">
      <c r="A329" s="8" t="s">
        <v>614</v>
      </c>
      <c r="B329" s="19">
        <v>5180000</v>
      </c>
      <c r="C329" s="19">
        <v>4662000</v>
      </c>
      <c r="D329" s="17">
        <f t="shared" si="28"/>
        <v>518000</v>
      </c>
      <c r="E329" s="2">
        <f t="shared" si="27"/>
        <v>0.1111111111111111</v>
      </c>
      <c r="F329" s="13" t="s">
        <v>617</v>
      </c>
      <c r="G329" s="108" t="s">
        <v>595</v>
      </c>
      <c r="H329" s="20"/>
      <c r="I329" s="32" t="s">
        <v>618</v>
      </c>
      <c r="J329" s="124"/>
    </row>
    <row r="330" spans="1:10">
      <c r="A330" s="8" t="s">
        <v>619</v>
      </c>
      <c r="B330" s="19">
        <v>312500</v>
      </c>
      <c r="C330" s="19">
        <v>280000</v>
      </c>
      <c r="D330" s="17">
        <f t="shared" si="28"/>
        <v>32500</v>
      </c>
      <c r="E330" s="2">
        <f t="shared" si="27"/>
        <v>0.11607142857142858</v>
      </c>
      <c r="F330" s="13" t="s">
        <v>620</v>
      </c>
      <c r="G330" s="108" t="s">
        <v>595</v>
      </c>
      <c r="H330" s="20" t="s">
        <v>440</v>
      </c>
      <c r="I330" s="32" t="s">
        <v>621</v>
      </c>
      <c r="J330" s="124"/>
    </row>
    <row r="331" spans="1:10">
      <c r="A331" s="8" t="s">
        <v>622</v>
      </c>
      <c r="B331" s="19">
        <v>968004</v>
      </c>
      <c r="C331" s="19">
        <v>919602</v>
      </c>
      <c r="D331" s="17">
        <f t="shared" si="28"/>
        <v>48402</v>
      </c>
      <c r="E331" s="2">
        <f t="shared" si="27"/>
        <v>5.2633639335277656E-2</v>
      </c>
      <c r="F331" s="13" t="s">
        <v>623</v>
      </c>
      <c r="G331" s="108" t="s">
        <v>595</v>
      </c>
      <c r="H331" s="20" t="s">
        <v>440</v>
      </c>
      <c r="I331" s="32" t="s">
        <v>621</v>
      </c>
      <c r="J331" s="124"/>
    </row>
    <row r="332" spans="1:10">
      <c r="A332" s="8" t="s">
        <v>624</v>
      </c>
      <c r="B332" s="19">
        <v>494778</v>
      </c>
      <c r="C332" s="19">
        <v>445000</v>
      </c>
      <c r="D332" s="17">
        <f t="shared" si="28"/>
        <v>49778</v>
      </c>
      <c r="E332" s="2">
        <f t="shared" si="27"/>
        <v>0.11186067415730337</v>
      </c>
      <c r="F332" s="13" t="s">
        <v>625</v>
      </c>
      <c r="G332" s="108" t="s">
        <v>595</v>
      </c>
      <c r="H332" s="20" t="s">
        <v>383</v>
      </c>
      <c r="I332" s="32"/>
      <c r="J332" s="124"/>
    </row>
    <row r="333" spans="1:10">
      <c r="A333" s="8" t="s">
        <v>468</v>
      </c>
      <c r="B333" s="19">
        <v>1856675</v>
      </c>
      <c r="C333" s="19">
        <v>1671008</v>
      </c>
      <c r="D333" s="17">
        <f t="shared" si="28"/>
        <v>185667</v>
      </c>
      <c r="E333" s="2">
        <f t="shared" si="27"/>
        <v>0.11111077864378865</v>
      </c>
      <c r="F333" s="13" t="s">
        <v>626</v>
      </c>
      <c r="G333" s="108" t="s">
        <v>595</v>
      </c>
      <c r="H333" s="20"/>
      <c r="I333" s="32" t="s">
        <v>627</v>
      </c>
      <c r="J333" s="124"/>
    </row>
    <row r="334" spans="1:10">
      <c r="A334" s="8" t="s">
        <v>628</v>
      </c>
      <c r="B334" s="19">
        <v>203280</v>
      </c>
      <c r="C334" s="19">
        <v>193116</v>
      </c>
      <c r="D334" s="17">
        <f t="shared" si="28"/>
        <v>10164</v>
      </c>
      <c r="E334" s="2">
        <f t="shared" si="27"/>
        <v>5.2631578947368418E-2</v>
      </c>
      <c r="F334" s="13" t="s">
        <v>629</v>
      </c>
      <c r="G334" s="108" t="s">
        <v>595</v>
      </c>
      <c r="H334" s="20"/>
      <c r="I334" s="32" t="s">
        <v>630</v>
      </c>
      <c r="J334" s="124"/>
    </row>
    <row r="335" spans="1:10">
      <c r="A335" s="8" t="s">
        <v>631</v>
      </c>
      <c r="B335" s="19">
        <v>262658707.5</v>
      </c>
      <c r="C335" s="19">
        <v>233505037.5</v>
      </c>
      <c r="D335" s="17">
        <f t="shared" si="28"/>
        <v>29153670</v>
      </c>
      <c r="E335" s="2">
        <f t="shared" si="27"/>
        <v>0.1248524242223254</v>
      </c>
      <c r="F335" s="13" t="s">
        <v>632</v>
      </c>
      <c r="G335" s="108" t="s">
        <v>595</v>
      </c>
      <c r="H335" s="20" t="s">
        <v>440</v>
      </c>
      <c r="I335" s="32"/>
      <c r="J335" s="124"/>
    </row>
    <row r="336" spans="1:10">
      <c r="A336" s="8" t="s">
        <v>633</v>
      </c>
      <c r="B336" s="19">
        <v>5220000</v>
      </c>
      <c r="C336" s="19">
        <v>3900000</v>
      </c>
      <c r="D336" s="17">
        <f t="shared" si="28"/>
        <v>1320000</v>
      </c>
      <c r="E336" s="2">
        <f t="shared" si="27"/>
        <v>0.33846153846153848</v>
      </c>
      <c r="F336" s="13" t="s">
        <v>634</v>
      </c>
      <c r="G336" s="108" t="s">
        <v>595</v>
      </c>
      <c r="H336" s="20" t="s">
        <v>30</v>
      </c>
      <c r="I336" s="32" t="s">
        <v>635</v>
      </c>
      <c r="J336" s="124"/>
    </row>
    <row r="337" spans="1:10">
      <c r="A337" s="8" t="s">
        <v>636</v>
      </c>
      <c r="B337" s="19">
        <v>1950000</v>
      </c>
      <c r="C337" s="19">
        <v>1650000</v>
      </c>
      <c r="D337" s="17">
        <f t="shared" si="28"/>
        <v>300000</v>
      </c>
      <c r="E337" s="2">
        <f t="shared" si="27"/>
        <v>0.18181818181818182</v>
      </c>
      <c r="F337" s="13" t="s">
        <v>637</v>
      </c>
      <c r="G337" s="108" t="s">
        <v>595</v>
      </c>
      <c r="H337" s="20" t="s">
        <v>391</v>
      </c>
      <c r="I337" s="32"/>
      <c r="J337" s="124"/>
    </row>
    <row r="338" spans="1:10">
      <c r="A338" s="8" t="s">
        <v>80</v>
      </c>
      <c r="B338" s="19">
        <v>11569000</v>
      </c>
      <c r="C338" s="19">
        <v>10412100</v>
      </c>
      <c r="D338" s="17">
        <f t="shared" si="28"/>
        <v>1156900</v>
      </c>
      <c r="E338" s="2">
        <f t="shared" si="27"/>
        <v>0.1111111111111111</v>
      </c>
      <c r="F338" s="13" t="s">
        <v>638</v>
      </c>
      <c r="G338" s="108" t="s">
        <v>595</v>
      </c>
      <c r="H338" s="20" t="s">
        <v>124</v>
      </c>
      <c r="I338" s="32"/>
      <c r="J338" s="124"/>
    </row>
    <row r="339" spans="1:10">
      <c r="A339" s="8" t="s">
        <v>639</v>
      </c>
      <c r="B339" s="19">
        <v>163569600</v>
      </c>
      <c r="C339" s="19">
        <v>161085600</v>
      </c>
      <c r="D339" s="17">
        <f t="shared" si="28"/>
        <v>2484000</v>
      </c>
      <c r="E339" s="2">
        <f t="shared" si="27"/>
        <v>1.5420372770750458E-2</v>
      </c>
      <c r="F339" s="13" t="s">
        <v>640</v>
      </c>
      <c r="G339" s="108" t="s">
        <v>595</v>
      </c>
      <c r="H339" s="20" t="s">
        <v>348</v>
      </c>
      <c r="I339" s="32" t="s">
        <v>641</v>
      </c>
      <c r="J339" s="124"/>
    </row>
    <row r="340" spans="1:10">
      <c r="A340" s="8" t="s">
        <v>639</v>
      </c>
      <c r="B340" s="19">
        <v>185000</v>
      </c>
      <c r="C340" s="19">
        <v>137900</v>
      </c>
      <c r="D340" s="17">
        <f t="shared" si="28"/>
        <v>47100</v>
      </c>
      <c r="E340" s="2">
        <f t="shared" si="27"/>
        <v>0.34155184916606235</v>
      </c>
      <c r="F340" s="13" t="s">
        <v>642</v>
      </c>
      <c r="G340" s="108" t="s">
        <v>595</v>
      </c>
      <c r="H340" s="20" t="s">
        <v>348</v>
      </c>
      <c r="I340" s="32" t="s">
        <v>643</v>
      </c>
      <c r="J340" s="124"/>
    </row>
    <row r="341" spans="1:10">
      <c r="A341" s="8" t="s">
        <v>405</v>
      </c>
      <c r="B341" s="19">
        <v>2625000</v>
      </c>
      <c r="C341" s="19">
        <v>1350000</v>
      </c>
      <c r="D341" s="17">
        <f t="shared" si="28"/>
        <v>1275000</v>
      </c>
      <c r="E341" s="2">
        <f t="shared" si="27"/>
        <v>0.94444444444444442</v>
      </c>
      <c r="F341" s="13" t="s">
        <v>644</v>
      </c>
      <c r="G341" s="108" t="s">
        <v>595</v>
      </c>
      <c r="H341" s="20" t="s">
        <v>348</v>
      </c>
      <c r="I341" s="32" t="s">
        <v>304</v>
      </c>
      <c r="J341" s="124"/>
    </row>
    <row r="342" spans="1:10">
      <c r="A342" s="8" t="s">
        <v>468</v>
      </c>
      <c r="B342" s="19">
        <v>80000</v>
      </c>
      <c r="C342" s="19">
        <v>77500</v>
      </c>
      <c r="D342" s="17">
        <f t="shared" si="28"/>
        <v>2500</v>
      </c>
      <c r="E342" s="2">
        <f t="shared" si="27"/>
        <v>3.2258064516129031E-2</v>
      </c>
      <c r="F342" s="13" t="s">
        <v>645</v>
      </c>
      <c r="G342" s="108" t="s">
        <v>595</v>
      </c>
      <c r="H342" s="20" t="s">
        <v>63</v>
      </c>
      <c r="I342" s="32"/>
      <c r="J342" s="124"/>
    </row>
    <row r="343" spans="1:10">
      <c r="A343" s="8" t="s">
        <v>468</v>
      </c>
      <c r="B343" s="19">
        <v>842880</v>
      </c>
      <c r="C343" s="19">
        <v>816540</v>
      </c>
      <c r="D343" s="17">
        <f t="shared" si="28"/>
        <v>26340</v>
      </c>
      <c r="E343" s="2">
        <f t="shared" si="27"/>
        <v>3.2258064516129031E-2</v>
      </c>
      <c r="F343" s="13" t="s">
        <v>646</v>
      </c>
      <c r="G343" s="108" t="s">
        <v>595</v>
      </c>
      <c r="H343" s="20" t="s">
        <v>63</v>
      </c>
      <c r="I343" s="32"/>
      <c r="J343" s="124"/>
    </row>
    <row r="344" spans="1:10">
      <c r="A344" s="8" t="s">
        <v>468</v>
      </c>
      <c r="B344" s="19">
        <v>398000</v>
      </c>
      <c r="C344" s="19">
        <v>358200</v>
      </c>
      <c r="D344" s="17">
        <f t="shared" si="28"/>
        <v>39800</v>
      </c>
      <c r="E344" s="2">
        <f t="shared" si="27"/>
        <v>0.1111111111111111</v>
      </c>
      <c r="F344" s="13" t="s">
        <v>647</v>
      </c>
      <c r="G344" s="108" t="s">
        <v>595</v>
      </c>
      <c r="H344" s="20" t="s">
        <v>63</v>
      </c>
      <c r="I344" s="32"/>
      <c r="J344" s="124"/>
    </row>
    <row r="345" spans="1:10">
      <c r="A345" s="8" t="s">
        <v>648</v>
      </c>
      <c r="B345" s="19">
        <v>2973850</v>
      </c>
      <c r="C345" s="19">
        <v>2884635</v>
      </c>
      <c r="D345" s="17">
        <f t="shared" si="28"/>
        <v>89215</v>
      </c>
      <c r="E345" s="2">
        <f t="shared" si="27"/>
        <v>3.0927656358603429E-2</v>
      </c>
      <c r="F345" s="13" t="s">
        <v>612</v>
      </c>
      <c r="G345" s="108" t="s">
        <v>595</v>
      </c>
      <c r="H345" s="20" t="s">
        <v>63</v>
      </c>
      <c r="I345" s="32"/>
      <c r="J345" s="124"/>
    </row>
    <row r="346" spans="1:10">
      <c r="A346" s="8" t="s">
        <v>648</v>
      </c>
      <c r="B346" s="19">
        <v>1897520</v>
      </c>
      <c r="C346" s="19">
        <v>1840594</v>
      </c>
      <c r="D346" s="17">
        <f t="shared" si="28"/>
        <v>56926</v>
      </c>
      <c r="E346" s="2">
        <f t="shared" si="27"/>
        <v>3.0928059093966405E-2</v>
      </c>
      <c r="F346" s="13" t="s">
        <v>604</v>
      </c>
      <c r="G346" s="108" t="s">
        <v>595</v>
      </c>
      <c r="H346" s="20" t="s">
        <v>63</v>
      </c>
      <c r="I346" s="32"/>
      <c r="J346" s="124"/>
    </row>
    <row r="347" spans="1:10">
      <c r="A347" s="8" t="s">
        <v>649</v>
      </c>
      <c r="B347" s="19">
        <v>159000</v>
      </c>
      <c r="C347" s="19">
        <v>139500</v>
      </c>
      <c r="D347" s="17">
        <f t="shared" si="28"/>
        <v>19500</v>
      </c>
      <c r="E347" s="2">
        <f t="shared" si="27"/>
        <v>0.13978494623655913</v>
      </c>
      <c r="F347" s="13" t="s">
        <v>650</v>
      </c>
      <c r="G347" s="108" t="s">
        <v>595</v>
      </c>
      <c r="H347" s="20" t="s">
        <v>63</v>
      </c>
      <c r="I347" s="32"/>
      <c r="J347" s="124"/>
    </row>
    <row r="348" spans="1:10">
      <c r="A348" s="9" t="s">
        <v>651</v>
      </c>
      <c r="B348" s="22">
        <v>5544000</v>
      </c>
      <c r="C348" s="22">
        <v>5265000</v>
      </c>
      <c r="D348" s="35">
        <f t="shared" si="28"/>
        <v>279000</v>
      </c>
      <c r="E348" s="3">
        <f t="shared" si="27"/>
        <v>5.2991452991452991E-2</v>
      </c>
      <c r="F348" s="14" t="s">
        <v>652</v>
      </c>
      <c r="G348" s="108" t="s">
        <v>595</v>
      </c>
      <c r="H348" s="23" t="s">
        <v>63</v>
      </c>
      <c r="I348" s="34"/>
      <c r="J348" s="124"/>
    </row>
    <row r="349" spans="1:10">
      <c r="A349" s="138" t="s">
        <v>653</v>
      </c>
      <c r="B349" s="138"/>
      <c r="C349" s="138"/>
      <c r="D349" s="138"/>
      <c r="E349" s="138"/>
      <c r="F349" s="138"/>
      <c r="G349" s="138"/>
      <c r="H349" s="138"/>
      <c r="I349" s="138"/>
      <c r="J349" s="139"/>
    </row>
    <row r="350" spans="1:10">
      <c r="A350" s="7" t="s">
        <v>654</v>
      </c>
      <c r="B350" s="17">
        <v>1702000</v>
      </c>
      <c r="C350" s="17">
        <v>1620000</v>
      </c>
      <c r="D350" s="17">
        <f t="shared" si="28"/>
        <v>82000</v>
      </c>
      <c r="E350" s="1">
        <f t="shared" si="27"/>
        <v>5.0617283950617285E-2</v>
      </c>
      <c r="F350" s="12" t="s">
        <v>655</v>
      </c>
      <c r="G350" s="108" t="s">
        <v>656</v>
      </c>
      <c r="H350" s="18" t="s">
        <v>63</v>
      </c>
      <c r="I350" s="33" t="s">
        <v>621</v>
      </c>
      <c r="J350" s="124">
        <f>SUM(D350:D379)</f>
        <v>19434904.550000001</v>
      </c>
    </row>
    <row r="351" spans="1:10">
      <c r="A351" s="8" t="s">
        <v>260</v>
      </c>
      <c r="B351" s="19">
        <v>4525000</v>
      </c>
      <c r="C351" s="19">
        <v>3989800</v>
      </c>
      <c r="D351" s="17">
        <f t="shared" si="28"/>
        <v>535200</v>
      </c>
      <c r="E351" s="2">
        <f t="shared" si="27"/>
        <v>0.13414206225875983</v>
      </c>
      <c r="F351" s="13" t="s">
        <v>657</v>
      </c>
      <c r="G351" s="108" t="s">
        <v>656</v>
      </c>
      <c r="H351" s="20" t="s">
        <v>30</v>
      </c>
      <c r="I351" s="32" t="s">
        <v>658</v>
      </c>
      <c r="J351" s="124"/>
    </row>
    <row r="352" spans="1:10">
      <c r="A352" s="8" t="s">
        <v>405</v>
      </c>
      <c r="B352" s="19">
        <v>3000000</v>
      </c>
      <c r="C352" s="19">
        <v>2254000</v>
      </c>
      <c r="D352" s="17">
        <f t="shared" si="28"/>
        <v>746000</v>
      </c>
      <c r="E352" s="2">
        <f t="shared" si="27"/>
        <v>0.33096716947648624</v>
      </c>
      <c r="F352" s="13" t="s">
        <v>106</v>
      </c>
      <c r="G352" s="108" t="s">
        <v>656</v>
      </c>
      <c r="H352" s="20" t="s">
        <v>30</v>
      </c>
      <c r="I352" s="34" t="s">
        <v>659</v>
      </c>
      <c r="J352" s="124"/>
    </row>
    <row r="353" spans="1:10">
      <c r="A353" s="8" t="s">
        <v>660</v>
      </c>
      <c r="B353" s="19">
        <v>5952615.5499999998</v>
      </c>
      <c r="C353" s="19">
        <v>5640188</v>
      </c>
      <c r="D353" s="17">
        <f t="shared" si="28"/>
        <v>312427.54999999981</v>
      </c>
      <c r="E353" s="2">
        <f t="shared" si="27"/>
        <v>5.5393109236784276E-2</v>
      </c>
      <c r="F353" s="13" t="s">
        <v>661</v>
      </c>
      <c r="G353" s="108" t="s">
        <v>656</v>
      </c>
      <c r="H353" s="20" t="s">
        <v>348</v>
      </c>
      <c r="I353" s="39" t="s">
        <v>662</v>
      </c>
      <c r="J353" s="124"/>
    </row>
    <row r="354" spans="1:10">
      <c r="A354" s="8" t="s">
        <v>530</v>
      </c>
      <c r="B354" s="19">
        <v>835200</v>
      </c>
      <c r="C354" s="19">
        <v>793200</v>
      </c>
      <c r="D354" s="17">
        <f t="shared" si="28"/>
        <v>42000</v>
      </c>
      <c r="E354" s="2">
        <f t="shared" si="27"/>
        <v>5.2950075642965201E-2</v>
      </c>
      <c r="F354" s="13" t="s">
        <v>663</v>
      </c>
      <c r="G354" s="108" t="s">
        <v>656</v>
      </c>
      <c r="H354" s="20" t="s">
        <v>63</v>
      </c>
      <c r="I354" s="33" t="s">
        <v>317</v>
      </c>
      <c r="J354" s="124"/>
    </row>
    <row r="355" spans="1:10">
      <c r="A355" s="8" t="s">
        <v>530</v>
      </c>
      <c r="B355" s="19">
        <v>512000</v>
      </c>
      <c r="C355" s="19">
        <v>483000</v>
      </c>
      <c r="D355" s="17">
        <f t="shared" si="28"/>
        <v>29000</v>
      </c>
      <c r="E355" s="2">
        <f t="shared" si="27"/>
        <v>6.0041407867494824E-2</v>
      </c>
      <c r="F355" s="13" t="s">
        <v>664</v>
      </c>
      <c r="G355" s="108" t="s">
        <v>656</v>
      </c>
      <c r="H355" s="20" t="s">
        <v>63</v>
      </c>
      <c r="I355" s="32" t="s">
        <v>317</v>
      </c>
      <c r="J355" s="124"/>
    </row>
    <row r="356" spans="1:10">
      <c r="A356" s="8" t="s">
        <v>530</v>
      </c>
      <c r="B356" s="19">
        <v>1745200</v>
      </c>
      <c r="C356" s="19">
        <v>1650000</v>
      </c>
      <c r="D356" s="17">
        <f t="shared" si="28"/>
        <v>95200</v>
      </c>
      <c r="E356" s="2">
        <f t="shared" si="27"/>
        <v>5.7696969696969698E-2</v>
      </c>
      <c r="F356" s="13" t="s">
        <v>665</v>
      </c>
      <c r="G356" s="108" t="s">
        <v>656</v>
      </c>
      <c r="H356" s="20" t="s">
        <v>63</v>
      </c>
      <c r="I356" s="32" t="s">
        <v>317</v>
      </c>
      <c r="J356" s="124"/>
    </row>
    <row r="357" spans="1:10">
      <c r="A357" s="8" t="s">
        <v>530</v>
      </c>
      <c r="B357" s="19">
        <v>1830200</v>
      </c>
      <c r="C357" s="19">
        <v>1750000</v>
      </c>
      <c r="D357" s="17">
        <f t="shared" si="28"/>
        <v>80200</v>
      </c>
      <c r="E357" s="2">
        <f t="shared" si="27"/>
        <v>4.5828571428571427E-2</v>
      </c>
      <c r="F357" s="13" t="s">
        <v>666</v>
      </c>
      <c r="G357" s="108" t="s">
        <v>656</v>
      </c>
      <c r="H357" s="20" t="s">
        <v>63</v>
      </c>
      <c r="I357" s="32" t="s">
        <v>317</v>
      </c>
      <c r="J357" s="124"/>
    </row>
    <row r="358" spans="1:10">
      <c r="A358" s="8" t="s">
        <v>530</v>
      </c>
      <c r="B358" s="19">
        <v>668900</v>
      </c>
      <c r="C358" s="19">
        <v>610000</v>
      </c>
      <c r="D358" s="17">
        <f t="shared" si="28"/>
        <v>58900</v>
      </c>
      <c r="E358" s="2">
        <f t="shared" si="27"/>
        <v>9.6557377049180326E-2</v>
      </c>
      <c r="F358" s="13" t="s">
        <v>667</v>
      </c>
      <c r="G358" s="108" t="s">
        <v>656</v>
      </c>
      <c r="H358" s="20" t="s">
        <v>63</v>
      </c>
      <c r="I358" s="32" t="s">
        <v>317</v>
      </c>
      <c r="J358" s="124"/>
    </row>
    <row r="359" spans="1:10">
      <c r="A359" s="8" t="s">
        <v>530</v>
      </c>
      <c r="B359" s="19">
        <v>561000</v>
      </c>
      <c r="C359" s="19">
        <v>522000</v>
      </c>
      <c r="D359" s="17">
        <f t="shared" si="28"/>
        <v>39000</v>
      </c>
      <c r="E359" s="2">
        <f t="shared" si="27"/>
        <v>7.4712643678160925E-2</v>
      </c>
      <c r="F359" s="13" t="s">
        <v>668</v>
      </c>
      <c r="G359" s="108" t="s">
        <v>656</v>
      </c>
      <c r="H359" s="20" t="s">
        <v>63</v>
      </c>
      <c r="I359" s="32" t="s">
        <v>317</v>
      </c>
      <c r="J359" s="124"/>
    </row>
    <row r="360" spans="1:10">
      <c r="A360" s="8" t="s">
        <v>530</v>
      </c>
      <c r="B360" s="19">
        <v>415000</v>
      </c>
      <c r="C360" s="19">
        <v>385000</v>
      </c>
      <c r="D360" s="17">
        <f t="shared" si="28"/>
        <v>30000</v>
      </c>
      <c r="E360" s="2">
        <f t="shared" si="27"/>
        <v>7.792207792207792E-2</v>
      </c>
      <c r="F360" s="13" t="s">
        <v>669</v>
      </c>
      <c r="G360" s="108" t="s">
        <v>656</v>
      </c>
      <c r="H360" s="20" t="s">
        <v>63</v>
      </c>
      <c r="I360" s="32" t="s">
        <v>317</v>
      </c>
      <c r="J360" s="124"/>
    </row>
    <row r="361" spans="1:10">
      <c r="A361" s="8" t="s">
        <v>468</v>
      </c>
      <c r="B361" s="19">
        <v>87120</v>
      </c>
      <c r="C361" s="19">
        <v>81675</v>
      </c>
      <c r="D361" s="17">
        <f t="shared" si="28"/>
        <v>5445</v>
      </c>
      <c r="E361" s="2">
        <f t="shared" si="27"/>
        <v>6.6666666666666666E-2</v>
      </c>
      <c r="F361" s="13" t="s">
        <v>670</v>
      </c>
      <c r="G361" s="108" t="s">
        <v>656</v>
      </c>
      <c r="H361" s="20" t="s">
        <v>63</v>
      </c>
      <c r="I361" s="32" t="s">
        <v>317</v>
      </c>
      <c r="J361" s="124"/>
    </row>
    <row r="362" spans="1:10">
      <c r="A362" s="8" t="s">
        <v>468</v>
      </c>
      <c r="B362" s="19">
        <v>87120</v>
      </c>
      <c r="C362" s="19">
        <v>84398</v>
      </c>
      <c r="D362" s="17">
        <f t="shared" si="28"/>
        <v>2722</v>
      </c>
      <c r="E362" s="2">
        <f t="shared" si="27"/>
        <v>3.2251949098319868E-2</v>
      </c>
      <c r="F362" s="13" t="s">
        <v>671</v>
      </c>
      <c r="G362" s="108" t="s">
        <v>656</v>
      </c>
      <c r="H362" s="20" t="s">
        <v>63</v>
      </c>
      <c r="I362" s="32" t="s">
        <v>317</v>
      </c>
      <c r="J362" s="124"/>
    </row>
    <row r="363" spans="1:10">
      <c r="A363" s="8" t="s">
        <v>468</v>
      </c>
      <c r="B363" s="19">
        <v>173124</v>
      </c>
      <c r="C363" s="19">
        <v>162435</v>
      </c>
      <c r="D363" s="17">
        <f t="shared" si="28"/>
        <v>10689</v>
      </c>
      <c r="E363" s="2">
        <f t="shared" si="27"/>
        <v>6.5804783451842278E-2</v>
      </c>
      <c r="F363" s="13" t="s">
        <v>672</v>
      </c>
      <c r="G363" s="108" t="s">
        <v>656</v>
      </c>
      <c r="H363" s="20" t="s">
        <v>63</v>
      </c>
      <c r="I363" s="32" t="s">
        <v>317</v>
      </c>
      <c r="J363" s="124"/>
    </row>
    <row r="364" spans="1:10">
      <c r="A364" s="8" t="s">
        <v>468</v>
      </c>
      <c r="B364" s="19">
        <v>526592</v>
      </c>
      <c r="C364" s="19">
        <v>493680</v>
      </c>
      <c r="D364" s="17">
        <f t="shared" si="28"/>
        <v>32912</v>
      </c>
      <c r="E364" s="2">
        <f t="shared" si="27"/>
        <v>6.6666666666666666E-2</v>
      </c>
      <c r="F364" s="13" t="s">
        <v>673</v>
      </c>
      <c r="G364" s="108" t="s">
        <v>656</v>
      </c>
      <c r="H364" s="20" t="s">
        <v>63</v>
      </c>
      <c r="I364" s="32" t="s">
        <v>317</v>
      </c>
      <c r="J364" s="124"/>
    </row>
    <row r="365" spans="1:10">
      <c r="A365" s="8" t="s">
        <v>468</v>
      </c>
      <c r="B365" s="19">
        <v>795695</v>
      </c>
      <c r="C365" s="19">
        <v>745966</v>
      </c>
      <c r="D365" s="17">
        <f t="shared" si="28"/>
        <v>49729</v>
      </c>
      <c r="E365" s="2">
        <f t="shared" si="27"/>
        <v>6.6663896209746831E-2</v>
      </c>
      <c r="F365" s="13" t="s">
        <v>647</v>
      </c>
      <c r="G365" s="108" t="s">
        <v>656</v>
      </c>
      <c r="H365" s="20" t="s">
        <v>63</v>
      </c>
      <c r="I365" s="32" t="s">
        <v>317</v>
      </c>
      <c r="J365" s="124"/>
    </row>
    <row r="366" spans="1:10">
      <c r="A366" s="8" t="s">
        <v>468</v>
      </c>
      <c r="B366" s="19">
        <v>133584</v>
      </c>
      <c r="C366" s="19">
        <v>125235</v>
      </c>
      <c r="D366" s="17">
        <f t="shared" si="28"/>
        <v>8349</v>
      </c>
      <c r="E366" s="2">
        <f t="shared" si="27"/>
        <v>6.6666666666666666E-2</v>
      </c>
      <c r="F366" s="13" t="s">
        <v>674</v>
      </c>
      <c r="G366" s="108" t="s">
        <v>656</v>
      </c>
      <c r="H366" s="20" t="s">
        <v>63</v>
      </c>
      <c r="I366" s="32" t="s">
        <v>317</v>
      </c>
      <c r="J366" s="124"/>
    </row>
    <row r="367" spans="1:10">
      <c r="A367" s="8" t="s">
        <v>675</v>
      </c>
      <c r="B367" s="19">
        <v>53580</v>
      </c>
      <c r="C367" s="19">
        <v>37800</v>
      </c>
      <c r="D367" s="17">
        <f t="shared" si="28"/>
        <v>15780</v>
      </c>
      <c r="E367" s="2">
        <f t="shared" si="27"/>
        <v>0.41746031746031748</v>
      </c>
      <c r="F367" s="13" t="s">
        <v>676</v>
      </c>
      <c r="G367" s="108" t="s">
        <v>656</v>
      </c>
      <c r="H367" s="20" t="s">
        <v>38</v>
      </c>
      <c r="I367" s="32"/>
      <c r="J367" s="124"/>
    </row>
    <row r="368" spans="1:10">
      <c r="A368" s="8" t="s">
        <v>677</v>
      </c>
      <c r="B368" s="19">
        <v>35850000</v>
      </c>
      <c r="C368" s="19">
        <v>32273000</v>
      </c>
      <c r="D368" s="17">
        <f t="shared" si="28"/>
        <v>3577000</v>
      </c>
      <c r="E368" s="2">
        <f t="shared" si="27"/>
        <v>0.11083568307873455</v>
      </c>
      <c r="F368" s="13" t="s">
        <v>678</v>
      </c>
      <c r="G368" s="108" t="s">
        <v>656</v>
      </c>
      <c r="H368" s="20"/>
      <c r="I368" s="32"/>
      <c r="J368" s="124"/>
    </row>
    <row r="369" spans="1:11">
      <c r="A369" s="8" t="s">
        <v>328</v>
      </c>
      <c r="B369" s="19">
        <v>1470000</v>
      </c>
      <c r="C369" s="19">
        <v>1350000</v>
      </c>
      <c r="D369" s="17">
        <f t="shared" si="28"/>
        <v>120000</v>
      </c>
      <c r="E369" s="2">
        <f t="shared" si="27"/>
        <v>8.8888888888888892E-2</v>
      </c>
      <c r="F369" s="13" t="s">
        <v>594</v>
      </c>
      <c r="G369" s="108" t="s">
        <v>656</v>
      </c>
      <c r="H369" s="20" t="s">
        <v>383</v>
      </c>
      <c r="I369" s="32" t="s">
        <v>679</v>
      </c>
      <c r="J369" s="124"/>
    </row>
    <row r="370" spans="1:11">
      <c r="A370" s="8" t="s">
        <v>403</v>
      </c>
      <c r="B370" s="19">
        <v>9030269</v>
      </c>
      <c r="C370" s="19">
        <v>7719556</v>
      </c>
      <c r="D370" s="17">
        <f t="shared" si="28"/>
        <v>1310713</v>
      </c>
      <c r="E370" s="2">
        <f t="shared" si="27"/>
        <v>0.16979124187971434</v>
      </c>
      <c r="F370" s="13" t="s">
        <v>680</v>
      </c>
      <c r="G370" s="108" t="s">
        <v>656</v>
      </c>
      <c r="H370" s="20" t="s">
        <v>383</v>
      </c>
      <c r="I370" s="32" t="s">
        <v>681</v>
      </c>
      <c r="J370" s="124"/>
    </row>
    <row r="371" spans="1:11">
      <c r="A371" s="8" t="s">
        <v>682</v>
      </c>
      <c r="B371" s="19">
        <v>31751060</v>
      </c>
      <c r="C371" s="19">
        <v>20053713</v>
      </c>
      <c r="D371" s="17">
        <f t="shared" si="28"/>
        <v>11697347</v>
      </c>
      <c r="E371" s="2">
        <f t="shared" si="27"/>
        <v>0.58330080818449925</v>
      </c>
      <c r="F371" s="13" t="s">
        <v>683</v>
      </c>
      <c r="G371" s="108" t="s">
        <v>656</v>
      </c>
      <c r="H371" s="20" t="s">
        <v>365</v>
      </c>
      <c r="I371" s="32" t="s">
        <v>684</v>
      </c>
      <c r="J371" s="124"/>
    </row>
    <row r="372" spans="1:11">
      <c r="A372" s="8" t="s">
        <v>648</v>
      </c>
      <c r="B372" s="19">
        <v>851840</v>
      </c>
      <c r="C372" s="19">
        <v>826285</v>
      </c>
      <c r="D372" s="17">
        <f t="shared" si="28"/>
        <v>25555</v>
      </c>
      <c r="E372" s="2">
        <f t="shared" si="27"/>
        <v>3.0927585518313899E-2</v>
      </c>
      <c r="F372" s="13" t="s">
        <v>685</v>
      </c>
      <c r="G372" s="108" t="s">
        <v>656</v>
      </c>
      <c r="H372" s="20" t="s">
        <v>365</v>
      </c>
      <c r="I372" s="32" t="s">
        <v>317</v>
      </c>
      <c r="J372" s="124"/>
    </row>
    <row r="373" spans="1:11">
      <c r="A373" s="8" t="s">
        <v>648</v>
      </c>
      <c r="B373" s="19">
        <v>2163530</v>
      </c>
      <c r="C373" s="19">
        <v>2098623</v>
      </c>
      <c r="D373" s="17">
        <f t="shared" si="28"/>
        <v>64907</v>
      </c>
      <c r="E373" s="2">
        <f t="shared" si="27"/>
        <v>3.0928375415689241E-2</v>
      </c>
      <c r="F373" s="13" t="s">
        <v>686</v>
      </c>
      <c r="G373" s="108" t="s">
        <v>656</v>
      </c>
      <c r="H373" s="20" t="s">
        <v>365</v>
      </c>
      <c r="I373" s="32" t="s">
        <v>317</v>
      </c>
      <c r="J373" s="124"/>
    </row>
    <row r="374" spans="1:11">
      <c r="A374" s="8" t="s">
        <v>148</v>
      </c>
      <c r="B374" s="19">
        <v>3764030</v>
      </c>
      <c r="C374" s="19">
        <v>3596561</v>
      </c>
      <c r="D374" s="17">
        <f t="shared" si="28"/>
        <v>167469</v>
      </c>
      <c r="E374" s="2">
        <f t="shared" si="27"/>
        <v>4.656364788474323E-2</v>
      </c>
      <c r="F374" s="13" t="s">
        <v>687</v>
      </c>
      <c r="G374" s="108" t="s">
        <v>656</v>
      </c>
      <c r="H374" s="20" t="s">
        <v>365</v>
      </c>
      <c r="I374" s="32" t="s">
        <v>317</v>
      </c>
      <c r="J374" s="124"/>
    </row>
    <row r="375" spans="1:11">
      <c r="A375" s="8" t="s">
        <v>148</v>
      </c>
      <c r="B375" s="19">
        <v>215828</v>
      </c>
      <c r="C375" s="19">
        <v>200912</v>
      </c>
      <c r="D375" s="17">
        <f t="shared" si="28"/>
        <v>14916</v>
      </c>
      <c r="E375" s="2">
        <f t="shared" si="27"/>
        <v>7.4241458947200759E-2</v>
      </c>
      <c r="F375" s="13" t="s">
        <v>688</v>
      </c>
      <c r="G375" s="108" t="s">
        <v>656</v>
      </c>
      <c r="H375" s="20" t="s">
        <v>365</v>
      </c>
      <c r="I375" s="32" t="s">
        <v>317</v>
      </c>
      <c r="J375" s="124"/>
    </row>
    <row r="376" spans="1:11">
      <c r="A376" s="8" t="s">
        <v>148</v>
      </c>
      <c r="B376" s="38">
        <v>1181318</v>
      </c>
      <c r="C376" s="19">
        <v>1137288</v>
      </c>
      <c r="D376" s="17">
        <f t="shared" si="28"/>
        <v>44030</v>
      </c>
      <c r="E376" s="2">
        <f t="shared" si="27"/>
        <v>3.8714907745443547E-2</v>
      </c>
      <c r="F376" s="13" t="s">
        <v>689</v>
      </c>
      <c r="G376" s="108" t="s">
        <v>656</v>
      </c>
      <c r="H376" s="20" t="s">
        <v>365</v>
      </c>
      <c r="I376" s="32" t="s">
        <v>317</v>
      </c>
      <c r="J376" s="124"/>
    </row>
    <row r="377" spans="1:11">
      <c r="A377" s="8" t="s">
        <v>148</v>
      </c>
      <c r="B377" s="19">
        <v>2242169</v>
      </c>
      <c r="C377" s="19">
        <v>2117605</v>
      </c>
      <c r="D377" s="17">
        <f t="shared" si="28"/>
        <v>124564</v>
      </c>
      <c r="E377" s="2">
        <f t="shared" si="27"/>
        <v>5.8823057180163438E-2</v>
      </c>
      <c r="F377" s="13" t="s">
        <v>687</v>
      </c>
      <c r="G377" s="108" t="s">
        <v>656</v>
      </c>
      <c r="H377" s="20" t="s">
        <v>365</v>
      </c>
      <c r="I377" s="32" t="s">
        <v>317</v>
      </c>
      <c r="J377" s="124"/>
    </row>
    <row r="378" spans="1:11">
      <c r="A378" s="8" t="s">
        <v>34</v>
      </c>
      <c r="B378" s="19">
        <v>943530</v>
      </c>
      <c r="C378" s="19">
        <v>882530</v>
      </c>
      <c r="D378" s="17">
        <f t="shared" si="28"/>
        <v>61000</v>
      </c>
      <c r="E378" s="2">
        <f t="shared" si="27"/>
        <v>6.9119463361018887E-2</v>
      </c>
      <c r="F378" s="13" t="s">
        <v>690</v>
      </c>
      <c r="G378" s="108" t="s">
        <v>656</v>
      </c>
      <c r="H378" s="20" t="s">
        <v>365</v>
      </c>
      <c r="I378" s="32" t="s">
        <v>691</v>
      </c>
      <c r="J378" s="124"/>
    </row>
    <row r="379" spans="1:11">
      <c r="A379" s="9" t="s">
        <v>692</v>
      </c>
      <c r="B379" s="22">
        <v>221850</v>
      </c>
      <c r="C379" s="22">
        <v>170000</v>
      </c>
      <c r="D379" s="35">
        <f t="shared" si="28"/>
        <v>51850</v>
      </c>
      <c r="E379" s="3">
        <f t="shared" si="27"/>
        <v>0.30499999999999999</v>
      </c>
      <c r="F379" s="14" t="s">
        <v>693</v>
      </c>
      <c r="G379" s="108" t="s">
        <v>656</v>
      </c>
      <c r="H379" s="23" t="s">
        <v>391</v>
      </c>
      <c r="I379" s="34"/>
      <c r="J379" s="124"/>
    </row>
    <row r="380" spans="1:11">
      <c r="A380" s="149" t="s">
        <v>694</v>
      </c>
      <c r="B380" s="150"/>
      <c r="C380" s="150"/>
      <c r="D380" s="150"/>
      <c r="E380" s="150"/>
      <c r="F380" s="150"/>
      <c r="G380" s="150"/>
      <c r="H380" s="150"/>
      <c r="I380" s="150"/>
      <c r="J380" s="151"/>
    </row>
    <row r="381" spans="1:11">
      <c r="A381" s="7" t="s">
        <v>573</v>
      </c>
      <c r="B381" s="17">
        <v>730000</v>
      </c>
      <c r="C381" s="17">
        <v>695000</v>
      </c>
      <c r="D381" s="17">
        <f t="shared" ref="D381" si="29">B381-C381</f>
        <v>35000</v>
      </c>
      <c r="E381" s="1">
        <f t="shared" ref="E381" si="30">(B381-C381)/C381</f>
        <v>5.0359712230215826E-2</v>
      </c>
      <c r="F381" s="12" t="s">
        <v>695</v>
      </c>
      <c r="G381" s="108" t="s">
        <v>696</v>
      </c>
      <c r="H381" s="18" t="s">
        <v>365</v>
      </c>
      <c r="I381" s="33" t="s">
        <v>317</v>
      </c>
      <c r="J381" s="140">
        <f>SUM(D381:D400)</f>
        <v>7401445.4000000004</v>
      </c>
    </row>
    <row r="382" spans="1:11">
      <c r="A382" s="8" t="s">
        <v>573</v>
      </c>
      <c r="B382" s="19">
        <v>432100</v>
      </c>
      <c r="C382" s="19">
        <v>400000</v>
      </c>
      <c r="D382" s="17">
        <f t="shared" si="28"/>
        <v>32100</v>
      </c>
      <c r="E382" s="2">
        <f t="shared" si="27"/>
        <v>8.0250000000000002E-2</v>
      </c>
      <c r="F382" s="13" t="s">
        <v>609</v>
      </c>
      <c r="G382" s="108" t="s">
        <v>696</v>
      </c>
      <c r="H382" s="20" t="s">
        <v>365</v>
      </c>
      <c r="I382" s="32" t="s">
        <v>317</v>
      </c>
      <c r="J382" s="141"/>
    </row>
    <row r="383" spans="1:11">
      <c r="A383" s="8" t="s">
        <v>697</v>
      </c>
      <c r="B383" s="19">
        <v>1207580</v>
      </c>
      <c r="C383" s="19">
        <v>1142201</v>
      </c>
      <c r="D383" s="17">
        <f t="shared" si="28"/>
        <v>65379</v>
      </c>
      <c r="E383" s="2">
        <f t="shared" si="27"/>
        <v>5.7239487620830309E-2</v>
      </c>
      <c r="F383" s="13" t="s">
        <v>698</v>
      </c>
      <c r="G383" s="108" t="s">
        <v>696</v>
      </c>
      <c r="H383" s="20" t="s">
        <v>365</v>
      </c>
      <c r="I383" s="32" t="s">
        <v>317</v>
      </c>
      <c r="J383" s="141"/>
      <c r="K383" s="25"/>
    </row>
    <row r="384" spans="1:11">
      <c r="A384" s="8" t="s">
        <v>648</v>
      </c>
      <c r="B384" s="19">
        <v>1419300</v>
      </c>
      <c r="C384" s="19">
        <v>1376724</v>
      </c>
      <c r="D384" s="17">
        <f t="shared" si="28"/>
        <v>42576</v>
      </c>
      <c r="E384" s="2">
        <f t="shared" si="27"/>
        <v>3.0925588571129724E-2</v>
      </c>
      <c r="F384" s="13" t="s">
        <v>699</v>
      </c>
      <c r="G384" s="108" t="s">
        <v>696</v>
      </c>
      <c r="H384" s="20" t="s">
        <v>365</v>
      </c>
      <c r="I384" s="32" t="s">
        <v>317</v>
      </c>
      <c r="J384" s="141"/>
    </row>
    <row r="385" spans="1:10">
      <c r="A385" s="8" t="s">
        <v>148</v>
      </c>
      <c r="B385" s="19">
        <v>303952</v>
      </c>
      <c r="C385" s="19">
        <v>284955</v>
      </c>
      <c r="D385" s="17">
        <f t="shared" si="28"/>
        <v>18997</v>
      </c>
      <c r="E385" s="2">
        <f t="shared" si="27"/>
        <v>6.6666666666666666E-2</v>
      </c>
      <c r="F385" s="13" t="s">
        <v>700</v>
      </c>
      <c r="G385" s="108" t="s">
        <v>696</v>
      </c>
      <c r="H385" s="20" t="s">
        <v>365</v>
      </c>
      <c r="I385" s="32" t="s">
        <v>317</v>
      </c>
      <c r="J385" s="141"/>
    </row>
    <row r="386" spans="1:10">
      <c r="A386" s="8" t="s">
        <v>697</v>
      </c>
      <c r="B386" s="19">
        <v>540628</v>
      </c>
      <c r="C386" s="19">
        <v>513596.6</v>
      </c>
      <c r="D386" s="17">
        <f t="shared" si="28"/>
        <v>27031.400000000023</v>
      </c>
      <c r="E386" s="2">
        <f t="shared" si="27"/>
        <v>5.2631578947368467E-2</v>
      </c>
      <c r="F386" s="13" t="s">
        <v>701</v>
      </c>
      <c r="G386" s="108" t="s">
        <v>696</v>
      </c>
      <c r="H386" s="20" t="s">
        <v>365</v>
      </c>
      <c r="I386" s="32" t="s">
        <v>317</v>
      </c>
      <c r="J386" s="141"/>
    </row>
    <row r="387" spans="1:10">
      <c r="A387" s="8" t="s">
        <v>697</v>
      </c>
      <c r="B387" s="19">
        <v>723580</v>
      </c>
      <c r="C387" s="19">
        <v>687401</v>
      </c>
      <c r="D387" s="17">
        <f t="shared" si="28"/>
        <v>36179</v>
      </c>
      <c r="E387" s="2">
        <f t="shared" ref="E387:E451" si="31">(B387-C387)/C387</f>
        <v>5.2631578947368418E-2</v>
      </c>
      <c r="F387" s="13" t="s">
        <v>702</v>
      </c>
      <c r="G387" s="108" t="s">
        <v>696</v>
      </c>
      <c r="H387" s="20" t="s">
        <v>365</v>
      </c>
      <c r="I387" s="32" t="s">
        <v>317</v>
      </c>
      <c r="J387" s="141"/>
    </row>
    <row r="388" spans="1:10">
      <c r="A388" s="8" t="s">
        <v>703</v>
      </c>
      <c r="B388" s="19">
        <v>2025000</v>
      </c>
      <c r="C388" s="19">
        <v>1814000</v>
      </c>
      <c r="D388" s="17">
        <f t="shared" si="28"/>
        <v>211000</v>
      </c>
      <c r="E388" s="2">
        <f t="shared" si="31"/>
        <v>0.11631753031973539</v>
      </c>
      <c r="F388" s="13" t="s">
        <v>704</v>
      </c>
      <c r="G388" s="108" t="s">
        <v>696</v>
      </c>
      <c r="H388" s="20" t="s">
        <v>365</v>
      </c>
      <c r="I388" s="32" t="s">
        <v>317</v>
      </c>
      <c r="J388" s="141"/>
    </row>
    <row r="389" spans="1:10">
      <c r="A389" s="8" t="s">
        <v>705</v>
      </c>
      <c r="B389" s="19">
        <v>1818350</v>
      </c>
      <c r="C389" s="19">
        <v>1540720</v>
      </c>
      <c r="D389" s="17">
        <f t="shared" ref="D389:D452" si="32">B389-C389</f>
        <v>277630</v>
      </c>
      <c r="E389" s="2">
        <f t="shared" si="31"/>
        <v>0.18019497377849317</v>
      </c>
      <c r="F389" s="13" t="s">
        <v>706</v>
      </c>
      <c r="G389" s="108" t="s">
        <v>696</v>
      </c>
      <c r="H389" s="20" t="s">
        <v>400</v>
      </c>
      <c r="I389" s="32" t="s">
        <v>707</v>
      </c>
      <c r="J389" s="141"/>
    </row>
    <row r="390" spans="1:10">
      <c r="A390" s="8" t="s">
        <v>708</v>
      </c>
      <c r="B390" s="19">
        <v>54856640</v>
      </c>
      <c r="C390" s="19">
        <v>54400755</v>
      </c>
      <c r="D390" s="17">
        <f t="shared" si="32"/>
        <v>455885</v>
      </c>
      <c r="E390" s="2">
        <f t="shared" si="31"/>
        <v>8.3801226655769757E-3</v>
      </c>
      <c r="F390" s="13" t="s">
        <v>709</v>
      </c>
      <c r="G390" s="108" t="s">
        <v>696</v>
      </c>
      <c r="H390" s="20" t="s">
        <v>400</v>
      </c>
      <c r="I390" s="32" t="s">
        <v>707</v>
      </c>
      <c r="J390" s="141"/>
    </row>
    <row r="391" spans="1:10">
      <c r="A391" s="8" t="s">
        <v>481</v>
      </c>
      <c r="B391" s="19">
        <v>529500</v>
      </c>
      <c r="C391" s="19">
        <v>476550</v>
      </c>
      <c r="D391" s="17">
        <f t="shared" si="32"/>
        <v>52950</v>
      </c>
      <c r="E391" s="2">
        <f t="shared" si="31"/>
        <v>0.1111111111111111</v>
      </c>
      <c r="F391" s="13" t="s">
        <v>710</v>
      </c>
      <c r="G391" s="108" t="s">
        <v>696</v>
      </c>
      <c r="H391" s="20" t="s">
        <v>400</v>
      </c>
      <c r="I391" s="32" t="s">
        <v>454</v>
      </c>
      <c r="J391" s="141"/>
    </row>
    <row r="392" spans="1:10">
      <c r="A392" s="8" t="s">
        <v>619</v>
      </c>
      <c r="B392" s="19">
        <v>724000</v>
      </c>
      <c r="C392" s="19">
        <v>660000</v>
      </c>
      <c r="D392" s="17">
        <f t="shared" si="32"/>
        <v>64000</v>
      </c>
      <c r="E392" s="2">
        <f t="shared" si="31"/>
        <v>9.696969696969697E-2</v>
      </c>
      <c r="F392" s="13" t="s">
        <v>711</v>
      </c>
      <c r="G392" s="108" t="s">
        <v>696</v>
      </c>
      <c r="H392" s="20" t="s">
        <v>712</v>
      </c>
      <c r="I392" s="32" t="s">
        <v>317</v>
      </c>
      <c r="J392" s="141"/>
    </row>
    <row r="393" spans="1:10">
      <c r="A393" s="8" t="s">
        <v>619</v>
      </c>
      <c r="B393" s="19">
        <v>1803000</v>
      </c>
      <c r="C393" s="19">
        <v>1700000</v>
      </c>
      <c r="D393" s="17">
        <f t="shared" si="32"/>
        <v>103000</v>
      </c>
      <c r="E393" s="2">
        <f t="shared" si="31"/>
        <v>6.0588235294117644E-2</v>
      </c>
      <c r="F393" s="13" t="s">
        <v>713</v>
      </c>
      <c r="G393" s="108" t="s">
        <v>696</v>
      </c>
      <c r="H393" s="20" t="s">
        <v>712</v>
      </c>
      <c r="I393" s="32" t="s">
        <v>317</v>
      </c>
      <c r="J393" s="141"/>
    </row>
    <row r="394" spans="1:10">
      <c r="A394" s="8" t="s">
        <v>148</v>
      </c>
      <c r="B394" s="19">
        <v>505156</v>
      </c>
      <c r="C394" s="19">
        <v>478528</v>
      </c>
      <c r="D394" s="17">
        <f t="shared" si="32"/>
        <v>26628</v>
      </c>
      <c r="E394" s="2">
        <f t="shared" si="31"/>
        <v>5.5645646649725829E-2</v>
      </c>
      <c r="F394" s="13" t="s">
        <v>714</v>
      </c>
      <c r="G394" s="108" t="s">
        <v>696</v>
      </c>
      <c r="H394" s="20" t="s">
        <v>712</v>
      </c>
      <c r="I394" s="32" t="s">
        <v>317</v>
      </c>
      <c r="J394" s="141"/>
    </row>
    <row r="395" spans="1:10">
      <c r="A395" s="8" t="s">
        <v>148</v>
      </c>
      <c r="B395" s="19">
        <v>904376</v>
      </c>
      <c r="C395" s="19">
        <v>854936</v>
      </c>
      <c r="D395" s="17">
        <f t="shared" si="32"/>
        <v>49440</v>
      </c>
      <c r="E395" s="2">
        <f t="shared" si="31"/>
        <v>5.7828890115751354E-2</v>
      </c>
      <c r="F395" s="13" t="s">
        <v>715</v>
      </c>
      <c r="G395" s="108" t="s">
        <v>696</v>
      </c>
      <c r="H395" s="20" t="s">
        <v>712</v>
      </c>
      <c r="I395" s="32" t="s">
        <v>317</v>
      </c>
      <c r="J395" s="141"/>
    </row>
    <row r="396" spans="1:10">
      <c r="A396" s="8" t="s">
        <v>148</v>
      </c>
      <c r="B396" s="19">
        <v>393960</v>
      </c>
      <c r="C396" s="19">
        <v>368095</v>
      </c>
      <c r="D396" s="17">
        <f t="shared" si="32"/>
        <v>25865</v>
      </c>
      <c r="E396" s="2">
        <f t="shared" si="31"/>
        <v>7.0267186460017117E-2</v>
      </c>
      <c r="F396" s="13" t="s">
        <v>716</v>
      </c>
      <c r="G396" s="108" t="s">
        <v>696</v>
      </c>
      <c r="H396" s="20" t="s">
        <v>712</v>
      </c>
      <c r="I396" s="32" t="s">
        <v>317</v>
      </c>
      <c r="J396" s="141"/>
    </row>
    <row r="397" spans="1:10">
      <c r="A397" s="8" t="s">
        <v>148</v>
      </c>
      <c r="B397" s="19">
        <v>42500</v>
      </c>
      <c r="C397" s="19">
        <v>40375</v>
      </c>
      <c r="D397" s="17">
        <f t="shared" si="32"/>
        <v>2125</v>
      </c>
      <c r="E397" s="2">
        <f t="shared" si="31"/>
        <v>5.2631578947368418E-2</v>
      </c>
      <c r="F397" s="13" t="s">
        <v>717</v>
      </c>
      <c r="G397" s="108" t="s">
        <v>696</v>
      </c>
      <c r="H397" s="20" t="s">
        <v>712</v>
      </c>
      <c r="I397" s="32" t="s">
        <v>317</v>
      </c>
      <c r="J397" s="141"/>
    </row>
    <row r="398" spans="1:10">
      <c r="A398" s="8" t="s">
        <v>148</v>
      </c>
      <c r="B398" s="19">
        <v>288000</v>
      </c>
      <c r="C398" s="19">
        <v>270000</v>
      </c>
      <c r="D398" s="17">
        <f t="shared" si="32"/>
        <v>18000</v>
      </c>
      <c r="E398" s="2">
        <f t="shared" si="31"/>
        <v>6.6666666666666666E-2</v>
      </c>
      <c r="F398" s="13" t="s">
        <v>718</v>
      </c>
      <c r="G398" s="108" t="s">
        <v>696</v>
      </c>
      <c r="H398" s="20" t="s">
        <v>712</v>
      </c>
      <c r="I398" s="32" t="s">
        <v>317</v>
      </c>
      <c r="J398" s="141"/>
    </row>
    <row r="399" spans="1:10">
      <c r="A399" s="8" t="s">
        <v>429</v>
      </c>
      <c r="B399" s="19">
        <v>5945740</v>
      </c>
      <c r="C399" s="19">
        <v>5610400</v>
      </c>
      <c r="D399" s="17">
        <f t="shared" si="32"/>
        <v>335340</v>
      </c>
      <c r="E399" s="2">
        <f t="shared" si="31"/>
        <v>5.9771139312704974E-2</v>
      </c>
      <c r="F399" s="13" t="s">
        <v>719</v>
      </c>
      <c r="G399" s="108" t="s">
        <v>696</v>
      </c>
      <c r="H399" s="20" t="s">
        <v>720</v>
      </c>
      <c r="I399" s="32"/>
      <c r="J399" s="141"/>
    </row>
    <row r="400" spans="1:10">
      <c r="A400" s="8" t="s">
        <v>721</v>
      </c>
      <c r="B400" s="19">
        <v>53326820</v>
      </c>
      <c r="C400" s="19">
        <v>47804500</v>
      </c>
      <c r="D400" s="17">
        <f t="shared" si="32"/>
        <v>5522320</v>
      </c>
      <c r="E400" s="2">
        <f t="shared" si="31"/>
        <v>0.1155188319091299</v>
      </c>
      <c r="F400" s="13" t="s">
        <v>722</v>
      </c>
      <c r="G400" s="108" t="s">
        <v>696</v>
      </c>
      <c r="H400" s="20" t="s">
        <v>110</v>
      </c>
      <c r="I400" s="32" t="s">
        <v>723</v>
      </c>
      <c r="J400" s="141"/>
    </row>
    <row r="401" spans="1:10" ht="61.5">
      <c r="A401" s="126">
        <v>2025</v>
      </c>
      <c r="B401" s="126"/>
      <c r="C401" s="126"/>
      <c r="D401" s="126"/>
      <c r="E401" s="126"/>
      <c r="F401" s="126"/>
      <c r="G401" s="126"/>
      <c r="H401" s="126"/>
      <c r="I401" s="126"/>
      <c r="J401" s="126"/>
    </row>
    <row r="402" spans="1:10">
      <c r="A402" s="6" t="s">
        <v>0</v>
      </c>
      <c r="B402" s="16" t="s">
        <v>1</v>
      </c>
      <c r="C402" s="16" t="s">
        <v>2</v>
      </c>
      <c r="D402" s="16" t="s">
        <v>3</v>
      </c>
      <c r="E402" s="5" t="s">
        <v>4</v>
      </c>
      <c r="F402" s="11" t="s">
        <v>5</v>
      </c>
      <c r="G402" s="46" t="s">
        <v>6</v>
      </c>
      <c r="H402" s="11" t="s">
        <v>7</v>
      </c>
      <c r="I402" s="11" t="s">
        <v>8</v>
      </c>
      <c r="J402" s="41" t="s">
        <v>9</v>
      </c>
    </row>
    <row r="403" spans="1:10">
      <c r="A403" s="8" t="s">
        <v>186</v>
      </c>
      <c r="B403" s="19">
        <v>1359900</v>
      </c>
      <c r="C403" s="19">
        <v>1184900</v>
      </c>
      <c r="D403" s="17">
        <f>B403-C403</f>
        <v>175000</v>
      </c>
      <c r="E403" s="2">
        <f>(B403-C403)/C403</f>
        <v>0.14769178833656849</v>
      </c>
      <c r="F403" s="13" t="s">
        <v>724</v>
      </c>
      <c r="G403" s="103" t="s">
        <v>725</v>
      </c>
      <c r="H403" s="20" t="s">
        <v>511</v>
      </c>
      <c r="I403" s="32"/>
      <c r="J403" s="143">
        <f>SUM(D403:D436)</f>
        <v>38738923.960000001</v>
      </c>
    </row>
    <row r="404" spans="1:10">
      <c r="A404" s="8" t="s">
        <v>726</v>
      </c>
      <c r="B404" s="19">
        <v>78672000</v>
      </c>
      <c r="C404" s="19">
        <v>69600000</v>
      </c>
      <c r="D404" s="17">
        <f>B404-C404</f>
        <v>9072000</v>
      </c>
      <c r="E404" s="2">
        <f>(B404-C404)/C404</f>
        <v>0.13034482758620689</v>
      </c>
      <c r="F404" s="13" t="s">
        <v>727</v>
      </c>
      <c r="G404" s="103" t="s">
        <v>725</v>
      </c>
      <c r="H404" s="20" t="s">
        <v>63</v>
      </c>
      <c r="I404" s="32"/>
      <c r="J404" s="144"/>
    </row>
    <row r="405" spans="1:10">
      <c r="A405" s="8" t="s">
        <v>728</v>
      </c>
      <c r="B405" s="19">
        <v>61838200.090000004</v>
      </c>
      <c r="C405" s="19">
        <v>47804507</v>
      </c>
      <c r="D405" s="17">
        <v>14188679.039999999</v>
      </c>
      <c r="E405" s="2">
        <f>(B405-C405)/C405</f>
        <v>0.29356422585845315</v>
      </c>
      <c r="F405" s="13" t="s">
        <v>729</v>
      </c>
      <c r="G405" s="103" t="s">
        <v>725</v>
      </c>
      <c r="H405" s="20" t="s">
        <v>383</v>
      </c>
      <c r="I405" s="32"/>
      <c r="J405" s="144"/>
    </row>
    <row r="406" spans="1:10">
      <c r="A406" s="10" t="s">
        <v>730</v>
      </c>
      <c r="B406" s="19">
        <v>5465707.3200000003</v>
      </c>
      <c r="C406" s="40">
        <v>4919136.58</v>
      </c>
      <c r="D406" s="17">
        <f>B406-C406</f>
        <v>546570.74000000022</v>
      </c>
      <c r="E406" s="2">
        <f>(B406-C406)/C406</f>
        <v>0.111111112918113</v>
      </c>
      <c r="F406" s="15" t="s">
        <v>731</v>
      </c>
      <c r="G406" s="103" t="s">
        <v>725</v>
      </c>
      <c r="H406" s="20"/>
      <c r="I406" s="32" t="s">
        <v>732</v>
      </c>
      <c r="J406" s="144"/>
    </row>
    <row r="407" spans="1:10">
      <c r="A407" s="8" t="s">
        <v>733</v>
      </c>
      <c r="B407" s="19">
        <v>1712700</v>
      </c>
      <c r="C407" s="19">
        <v>1455795</v>
      </c>
      <c r="D407" s="17">
        <f>B407-C407</f>
        <v>256905</v>
      </c>
      <c r="E407" s="2">
        <f>(B407-C407)/C407</f>
        <v>0.17647058823529413</v>
      </c>
      <c r="F407" s="13" t="s">
        <v>734</v>
      </c>
      <c r="G407" s="103" t="s">
        <v>725</v>
      </c>
      <c r="H407" s="20" t="s">
        <v>511</v>
      </c>
      <c r="I407" s="32"/>
      <c r="J407" s="144"/>
    </row>
    <row r="408" spans="1:10">
      <c r="A408" s="8" t="s">
        <v>735</v>
      </c>
      <c r="B408" s="19">
        <v>23289000</v>
      </c>
      <c r="C408" s="19">
        <v>17493000</v>
      </c>
      <c r="D408" s="17">
        <f>B408-C408</f>
        <v>5796000</v>
      </c>
      <c r="E408" s="2">
        <f>(B408-C408)/C408</f>
        <v>0.33133253301320525</v>
      </c>
      <c r="F408" s="13" t="s">
        <v>736</v>
      </c>
      <c r="G408" s="103" t="s">
        <v>725</v>
      </c>
      <c r="H408" s="20" t="s">
        <v>511</v>
      </c>
      <c r="I408" s="32"/>
      <c r="J408" s="144"/>
    </row>
    <row r="409" spans="1:10">
      <c r="A409" s="8" t="s">
        <v>737</v>
      </c>
      <c r="B409" s="19">
        <v>4700000</v>
      </c>
      <c r="C409" s="19">
        <v>4324000</v>
      </c>
      <c r="D409" s="17">
        <f t="shared" si="32"/>
        <v>376000</v>
      </c>
      <c r="E409" s="2">
        <f t="shared" si="31"/>
        <v>8.6956521739130432E-2</v>
      </c>
      <c r="F409" s="13" t="s">
        <v>738</v>
      </c>
      <c r="G409" s="103" t="s">
        <v>725</v>
      </c>
      <c r="H409" s="20" t="s">
        <v>391</v>
      </c>
      <c r="I409" s="32"/>
      <c r="J409" s="144"/>
    </row>
    <row r="410" spans="1:10">
      <c r="A410" s="8" t="s">
        <v>739</v>
      </c>
      <c r="B410" s="19">
        <v>741410</v>
      </c>
      <c r="C410" s="19">
        <v>717530</v>
      </c>
      <c r="D410" s="17">
        <f t="shared" si="32"/>
        <v>23880</v>
      </c>
      <c r="E410" s="2">
        <f t="shared" si="31"/>
        <v>3.3280838431842569E-2</v>
      </c>
      <c r="F410" s="13" t="s">
        <v>740</v>
      </c>
      <c r="G410" s="103" t="s">
        <v>725</v>
      </c>
      <c r="H410" s="20" t="s">
        <v>124</v>
      </c>
      <c r="I410" s="32" t="s">
        <v>741</v>
      </c>
      <c r="J410" s="144"/>
    </row>
    <row r="411" spans="1:10">
      <c r="A411" s="8" t="s">
        <v>424</v>
      </c>
      <c r="B411" s="19">
        <v>3015000</v>
      </c>
      <c r="C411" s="19">
        <v>2608000</v>
      </c>
      <c r="D411" s="17">
        <f t="shared" si="32"/>
        <v>407000</v>
      </c>
      <c r="E411" s="2">
        <f t="shared" si="31"/>
        <v>0.15605828220858894</v>
      </c>
      <c r="F411" s="13" t="s">
        <v>742</v>
      </c>
      <c r="G411" s="103" t="s">
        <v>725</v>
      </c>
      <c r="H411" s="20" t="s">
        <v>584</v>
      </c>
      <c r="I411" s="32" t="s">
        <v>743</v>
      </c>
      <c r="J411" s="144"/>
    </row>
    <row r="412" spans="1:10">
      <c r="A412" s="8" t="s">
        <v>744</v>
      </c>
      <c r="B412" s="19">
        <v>568400</v>
      </c>
      <c r="C412" s="19">
        <v>519960</v>
      </c>
      <c r="D412" s="17">
        <f t="shared" si="32"/>
        <v>48440</v>
      </c>
      <c r="E412" s="2">
        <f t="shared" si="31"/>
        <v>9.316101238556812E-2</v>
      </c>
      <c r="F412" s="13" t="s">
        <v>745</v>
      </c>
      <c r="G412" s="103" t="s">
        <v>725</v>
      </c>
      <c r="H412" s="20" t="s">
        <v>63</v>
      </c>
      <c r="I412" s="32"/>
      <c r="J412" s="144"/>
    </row>
    <row r="413" spans="1:10">
      <c r="A413" s="8" t="s">
        <v>186</v>
      </c>
      <c r="B413" s="19">
        <v>929500</v>
      </c>
      <c r="C413" s="19">
        <v>819000</v>
      </c>
      <c r="D413" s="17">
        <f t="shared" si="32"/>
        <v>110500</v>
      </c>
      <c r="E413" s="2">
        <f t="shared" si="31"/>
        <v>0.13492063492063491</v>
      </c>
      <c r="F413" s="13" t="s">
        <v>746</v>
      </c>
      <c r="G413" s="103" t="s">
        <v>725</v>
      </c>
      <c r="H413" s="20" t="s">
        <v>30</v>
      </c>
      <c r="I413" s="32" t="s">
        <v>31</v>
      </c>
      <c r="J413" s="144"/>
    </row>
    <row r="414" spans="1:10">
      <c r="A414" s="8" t="s">
        <v>747</v>
      </c>
      <c r="B414" s="19">
        <v>616853.16</v>
      </c>
      <c r="C414" s="19">
        <v>567504.01</v>
      </c>
      <c r="D414" s="17">
        <f t="shared" si="32"/>
        <v>49349.150000000023</v>
      </c>
      <c r="E414" s="2">
        <f t="shared" si="31"/>
        <v>8.6958240171730275E-2</v>
      </c>
      <c r="F414" s="13" t="s">
        <v>748</v>
      </c>
      <c r="G414" s="103" t="s">
        <v>725</v>
      </c>
      <c r="H414" s="20" t="s">
        <v>63</v>
      </c>
      <c r="I414" s="32"/>
      <c r="J414" s="144"/>
    </row>
    <row r="415" spans="1:10">
      <c r="A415" s="8" t="s">
        <v>747</v>
      </c>
      <c r="B415" s="19">
        <v>1451745.03</v>
      </c>
      <c r="C415" s="19">
        <v>1335631</v>
      </c>
      <c r="D415" s="17">
        <f t="shared" si="32"/>
        <v>116114.03000000003</v>
      </c>
      <c r="E415" s="2">
        <f t="shared" si="31"/>
        <v>8.6935710536817451E-2</v>
      </c>
      <c r="F415" s="13" t="s">
        <v>748</v>
      </c>
      <c r="G415" s="103" t="s">
        <v>725</v>
      </c>
      <c r="H415" s="20" t="s">
        <v>63</v>
      </c>
      <c r="I415" s="32"/>
      <c r="J415" s="144"/>
    </row>
    <row r="416" spans="1:10">
      <c r="A416" s="8" t="s">
        <v>148</v>
      </c>
      <c r="B416" s="19">
        <v>537966</v>
      </c>
      <c r="C416" s="19">
        <v>509652</v>
      </c>
      <c r="D416" s="17">
        <f t="shared" si="32"/>
        <v>28314</v>
      </c>
      <c r="E416" s="2">
        <f t="shared" si="31"/>
        <v>5.5555555555555552E-2</v>
      </c>
      <c r="F416" s="13" t="s">
        <v>749</v>
      </c>
      <c r="G416" s="103" t="s">
        <v>725</v>
      </c>
      <c r="H416" s="20" t="s">
        <v>63</v>
      </c>
      <c r="I416" s="32"/>
      <c r="J416" s="144"/>
    </row>
    <row r="417" spans="1:10">
      <c r="A417" s="8" t="s">
        <v>148</v>
      </c>
      <c r="B417" s="19">
        <v>1876467</v>
      </c>
      <c r="C417" s="19">
        <v>1731864</v>
      </c>
      <c r="D417" s="17">
        <f t="shared" si="32"/>
        <v>144603</v>
      </c>
      <c r="E417" s="2">
        <f t="shared" si="31"/>
        <v>8.3495586258505283E-2</v>
      </c>
      <c r="F417" s="13" t="s">
        <v>750</v>
      </c>
      <c r="G417" s="103" t="s">
        <v>725</v>
      </c>
      <c r="H417" s="20" t="s">
        <v>63</v>
      </c>
      <c r="I417" s="32"/>
      <c r="J417" s="144"/>
    </row>
    <row r="418" spans="1:10">
      <c r="A418" s="8" t="s">
        <v>148</v>
      </c>
      <c r="B418" s="19">
        <v>522538</v>
      </c>
      <c r="C418" s="19">
        <v>495036</v>
      </c>
      <c r="D418" s="17">
        <f t="shared" si="32"/>
        <v>27502</v>
      </c>
      <c r="E418" s="2">
        <f t="shared" si="31"/>
        <v>5.5555555555555552E-2</v>
      </c>
      <c r="F418" s="13" t="s">
        <v>751</v>
      </c>
      <c r="G418" s="103" t="s">
        <v>725</v>
      </c>
      <c r="H418" s="20" t="s">
        <v>63</v>
      </c>
      <c r="I418" s="32"/>
      <c r="J418" s="144"/>
    </row>
    <row r="419" spans="1:10">
      <c r="A419" s="8" t="s">
        <v>148</v>
      </c>
      <c r="B419" s="19">
        <v>768834</v>
      </c>
      <c r="C419" s="19">
        <v>726121</v>
      </c>
      <c r="D419" s="17">
        <f t="shared" si="32"/>
        <v>42713</v>
      </c>
      <c r="E419" s="2">
        <f t="shared" si="31"/>
        <v>5.8823529411764705E-2</v>
      </c>
      <c r="F419" s="13" t="s">
        <v>752</v>
      </c>
      <c r="G419" s="103" t="s">
        <v>725</v>
      </c>
      <c r="H419" s="20" t="s">
        <v>63</v>
      </c>
      <c r="I419" s="32"/>
      <c r="J419" s="144"/>
    </row>
    <row r="420" spans="1:10">
      <c r="A420" s="8" t="s">
        <v>148</v>
      </c>
      <c r="B420" s="19">
        <v>179322</v>
      </c>
      <c r="C420" s="19">
        <v>168751</v>
      </c>
      <c r="D420" s="17">
        <f t="shared" si="32"/>
        <v>10571</v>
      </c>
      <c r="E420" s="2">
        <f t="shared" si="31"/>
        <v>6.2642591747604462E-2</v>
      </c>
      <c r="F420" s="13" t="s">
        <v>753</v>
      </c>
      <c r="G420" s="103" t="s">
        <v>725</v>
      </c>
      <c r="H420" s="20" t="s">
        <v>63</v>
      </c>
      <c r="I420" s="32"/>
      <c r="J420" s="144"/>
    </row>
    <row r="421" spans="1:10">
      <c r="A421" s="8" t="s">
        <v>148</v>
      </c>
      <c r="B421" s="19">
        <v>105270</v>
      </c>
      <c r="C421" s="19">
        <v>97071</v>
      </c>
      <c r="D421" s="17">
        <f t="shared" si="32"/>
        <v>8199</v>
      </c>
      <c r="E421" s="2">
        <f t="shared" si="31"/>
        <v>8.4463949068207811E-2</v>
      </c>
      <c r="F421" s="13" t="s">
        <v>754</v>
      </c>
      <c r="G421" s="103" t="s">
        <v>725</v>
      </c>
      <c r="H421" s="20" t="s">
        <v>63</v>
      </c>
      <c r="I421" s="32"/>
      <c r="J421" s="144"/>
    </row>
    <row r="422" spans="1:10">
      <c r="A422" s="8" t="s">
        <v>148</v>
      </c>
      <c r="B422" s="19">
        <v>321860</v>
      </c>
      <c r="C422" s="19">
        <v>304920</v>
      </c>
      <c r="D422" s="17">
        <f t="shared" si="32"/>
        <v>16940</v>
      </c>
      <c r="E422" s="2">
        <f t="shared" si="31"/>
        <v>5.5555555555555552E-2</v>
      </c>
      <c r="F422" s="13" t="s">
        <v>755</v>
      </c>
      <c r="G422" s="103" t="s">
        <v>725</v>
      </c>
      <c r="H422" s="20" t="s">
        <v>63</v>
      </c>
      <c r="I422" s="32"/>
      <c r="J422" s="144"/>
    </row>
    <row r="423" spans="1:10">
      <c r="A423" s="8" t="s">
        <v>148</v>
      </c>
      <c r="B423" s="19">
        <v>210419</v>
      </c>
      <c r="C423" s="19">
        <v>199166</v>
      </c>
      <c r="D423" s="17">
        <f t="shared" si="32"/>
        <v>11253</v>
      </c>
      <c r="E423" s="2">
        <f t="shared" si="31"/>
        <v>5.6500607533414335E-2</v>
      </c>
      <c r="F423" s="13" t="s">
        <v>756</v>
      </c>
      <c r="G423" s="103" t="s">
        <v>725</v>
      </c>
      <c r="H423" s="20" t="s">
        <v>63</v>
      </c>
      <c r="I423" s="32"/>
      <c r="J423" s="144"/>
    </row>
    <row r="424" spans="1:10">
      <c r="A424" s="8" t="s">
        <v>148</v>
      </c>
      <c r="B424" s="19">
        <v>234135</v>
      </c>
      <c r="C424" s="19">
        <v>221128</v>
      </c>
      <c r="D424" s="17">
        <f t="shared" si="32"/>
        <v>13007</v>
      </c>
      <c r="E424" s="2">
        <f t="shared" si="31"/>
        <v>5.8821135270069824E-2</v>
      </c>
      <c r="F424" s="13" t="s">
        <v>757</v>
      </c>
      <c r="G424" s="103" t="s">
        <v>725</v>
      </c>
      <c r="H424" s="20" t="s">
        <v>63</v>
      </c>
      <c r="I424" s="34"/>
      <c r="J424" s="144"/>
    </row>
    <row r="425" spans="1:10">
      <c r="A425" s="8" t="s">
        <v>692</v>
      </c>
      <c r="B425" s="19">
        <v>1444795</v>
      </c>
      <c r="C425" s="19">
        <v>571095</v>
      </c>
      <c r="D425" s="17">
        <f t="shared" si="32"/>
        <v>873700</v>
      </c>
      <c r="E425" s="2">
        <f t="shared" si="31"/>
        <v>1.5298680604803054</v>
      </c>
      <c r="F425" s="13" t="s">
        <v>758</v>
      </c>
      <c r="G425" s="103" t="s">
        <v>725</v>
      </c>
      <c r="H425" s="20" t="s">
        <v>38</v>
      </c>
      <c r="I425" s="21"/>
      <c r="J425" s="144"/>
    </row>
    <row r="426" spans="1:10">
      <c r="A426" s="8" t="s">
        <v>692</v>
      </c>
      <c r="B426" s="19">
        <v>389994</v>
      </c>
      <c r="C426" s="19">
        <v>97207.5</v>
      </c>
      <c r="D426" s="17">
        <f t="shared" ref="D425:D426" si="33">B426-C426</f>
        <v>292786.5</v>
      </c>
      <c r="E426" s="2">
        <f t="shared" ref="E425:E426" si="34">(B426-C426)/C426</f>
        <v>3.0119743846925391</v>
      </c>
      <c r="F426" s="13" t="s">
        <v>758</v>
      </c>
      <c r="G426" s="103" t="s">
        <v>725</v>
      </c>
      <c r="H426" s="20" t="s">
        <v>38</v>
      </c>
      <c r="I426" s="21"/>
      <c r="J426" s="144"/>
    </row>
    <row r="427" spans="1:10">
      <c r="A427" s="8" t="s">
        <v>692</v>
      </c>
      <c r="B427" s="19">
        <v>3441791.3</v>
      </c>
      <c r="C427" s="19">
        <v>1944547.5</v>
      </c>
      <c r="D427" s="17">
        <f t="shared" si="32"/>
        <v>1497243.7999999998</v>
      </c>
      <c r="E427" s="2">
        <f t="shared" si="31"/>
        <v>0.76997028871755502</v>
      </c>
      <c r="F427" s="13" t="s">
        <v>758</v>
      </c>
      <c r="G427" s="103" t="s">
        <v>725</v>
      </c>
      <c r="H427" s="20" t="s">
        <v>38</v>
      </c>
      <c r="I427" s="21"/>
      <c r="J427" s="144"/>
    </row>
    <row r="428" spans="1:10">
      <c r="A428" s="8" t="s">
        <v>692</v>
      </c>
      <c r="B428" s="19">
        <v>6625483.6299999999</v>
      </c>
      <c r="C428" s="19">
        <v>4337904</v>
      </c>
      <c r="D428" s="17">
        <f t="shared" si="32"/>
        <v>2287579.63</v>
      </c>
      <c r="E428" s="2">
        <f t="shared" si="31"/>
        <v>0.52734676239953671</v>
      </c>
      <c r="F428" s="13" t="s">
        <v>758</v>
      </c>
      <c r="G428" s="103" t="s">
        <v>725</v>
      </c>
      <c r="H428" s="20" t="s">
        <v>38</v>
      </c>
      <c r="I428" s="21"/>
      <c r="J428" s="144"/>
    </row>
    <row r="429" spans="1:10">
      <c r="A429" s="8" t="s">
        <v>759</v>
      </c>
      <c r="B429" s="19">
        <v>610411.51</v>
      </c>
      <c r="C429" s="19">
        <v>399274.44</v>
      </c>
      <c r="D429" s="17">
        <f t="shared" si="32"/>
        <v>211137.07</v>
      </c>
      <c r="E429" s="2">
        <f t="shared" si="31"/>
        <v>0.5288018687096524</v>
      </c>
      <c r="F429" s="13" t="s">
        <v>760</v>
      </c>
      <c r="G429" s="103" t="s">
        <v>725</v>
      </c>
      <c r="H429" s="20" t="s">
        <v>584</v>
      </c>
      <c r="I429" s="21" t="s">
        <v>761</v>
      </c>
      <c r="J429" s="144"/>
    </row>
    <row r="430" spans="1:10">
      <c r="A430" s="8" t="s">
        <v>560</v>
      </c>
      <c r="B430" s="19">
        <v>8090450</v>
      </c>
      <c r="C430" s="19">
        <v>6286000</v>
      </c>
      <c r="D430" s="17">
        <f t="shared" si="32"/>
        <v>1804450</v>
      </c>
      <c r="E430" s="2">
        <f t="shared" si="31"/>
        <v>0.2870585427935094</v>
      </c>
      <c r="F430" s="13" t="s">
        <v>762</v>
      </c>
      <c r="G430" s="103" t="s">
        <v>725</v>
      </c>
      <c r="H430" s="20" t="s">
        <v>763</v>
      </c>
      <c r="I430" s="21"/>
      <c r="J430" s="144"/>
    </row>
    <row r="431" spans="1:10">
      <c r="A431" s="8" t="s">
        <v>148</v>
      </c>
      <c r="B431" s="19">
        <v>278445</v>
      </c>
      <c r="C431" s="19">
        <v>262485</v>
      </c>
      <c r="D431" s="17">
        <f t="shared" si="32"/>
        <v>15960</v>
      </c>
      <c r="E431" s="2">
        <f t="shared" si="31"/>
        <v>6.0803474484256242E-2</v>
      </c>
      <c r="F431" s="13" t="s">
        <v>764</v>
      </c>
      <c r="G431" s="103" t="s">
        <v>725</v>
      </c>
      <c r="H431" s="20" t="s">
        <v>63</v>
      </c>
      <c r="I431" s="21"/>
      <c r="J431" s="144"/>
    </row>
    <row r="432" spans="1:10">
      <c r="A432" s="8" t="s">
        <v>148</v>
      </c>
      <c r="B432" s="19">
        <v>503481</v>
      </c>
      <c r="C432" s="19">
        <v>476982</v>
      </c>
      <c r="D432" s="17">
        <f t="shared" si="32"/>
        <v>26499</v>
      </c>
      <c r="E432" s="2">
        <f t="shared" si="31"/>
        <v>5.5555555555555552E-2</v>
      </c>
      <c r="F432" s="13" t="s">
        <v>765</v>
      </c>
      <c r="G432" s="103" t="s">
        <v>725</v>
      </c>
      <c r="H432" s="20" t="s">
        <v>63</v>
      </c>
      <c r="I432" s="21"/>
      <c r="J432" s="144"/>
    </row>
    <row r="433" spans="1:10">
      <c r="A433" s="8" t="s">
        <v>148</v>
      </c>
      <c r="B433" s="19">
        <v>152460</v>
      </c>
      <c r="C433" s="19">
        <v>143990</v>
      </c>
      <c r="D433" s="17">
        <f t="shared" si="32"/>
        <v>8470</v>
      </c>
      <c r="E433" s="2">
        <f t="shared" si="31"/>
        <v>5.8823529411764705E-2</v>
      </c>
      <c r="F433" s="42" t="s">
        <v>766</v>
      </c>
      <c r="G433" s="103" t="s">
        <v>725</v>
      </c>
      <c r="H433" s="20" t="s">
        <v>63</v>
      </c>
      <c r="I433" s="21"/>
      <c r="J433" s="144"/>
    </row>
    <row r="434" spans="1:10">
      <c r="A434" s="8" t="s">
        <v>148</v>
      </c>
      <c r="B434" s="19">
        <v>519453</v>
      </c>
      <c r="C434" s="19">
        <v>490595</v>
      </c>
      <c r="D434" s="17">
        <f t="shared" si="32"/>
        <v>28858</v>
      </c>
      <c r="E434" s="44">
        <f t="shared" si="31"/>
        <v>5.8822450289954038E-2</v>
      </c>
      <c r="F434" s="43" t="s">
        <v>767</v>
      </c>
      <c r="G434" s="103" t="s">
        <v>725</v>
      </c>
      <c r="H434" s="20" t="s">
        <v>63</v>
      </c>
      <c r="I434" s="21"/>
      <c r="J434" s="144"/>
    </row>
    <row r="435" spans="1:10">
      <c r="A435" s="8" t="s">
        <v>148</v>
      </c>
      <c r="B435" s="19">
        <v>389500</v>
      </c>
      <c r="C435" s="19">
        <v>367800</v>
      </c>
      <c r="D435" s="17">
        <f t="shared" si="32"/>
        <v>21700</v>
      </c>
      <c r="E435" s="2">
        <f t="shared" si="31"/>
        <v>5.8999456226209897E-2</v>
      </c>
      <c r="F435" s="42" t="s">
        <v>768</v>
      </c>
      <c r="G435" s="103" t="s">
        <v>725</v>
      </c>
      <c r="H435" s="20" t="s">
        <v>63</v>
      </c>
      <c r="I435" s="21"/>
      <c r="J435" s="144"/>
    </row>
    <row r="436" spans="1:10">
      <c r="A436" s="8" t="s">
        <v>424</v>
      </c>
      <c r="B436" s="19">
        <v>1074000</v>
      </c>
      <c r="C436" s="19">
        <v>873000</v>
      </c>
      <c r="D436" s="17">
        <f t="shared" si="32"/>
        <v>201000</v>
      </c>
      <c r="E436" s="2">
        <f t="shared" si="31"/>
        <v>0.23024054982817868</v>
      </c>
      <c r="F436" s="13"/>
      <c r="G436" s="103" t="s">
        <v>725</v>
      </c>
      <c r="H436" s="20"/>
      <c r="I436" s="21" t="s">
        <v>769</v>
      </c>
      <c r="J436" s="145"/>
    </row>
    <row r="437" spans="1:10">
      <c r="A437" s="138" t="s">
        <v>770</v>
      </c>
      <c r="B437" s="138"/>
      <c r="C437" s="138"/>
      <c r="D437" s="138"/>
      <c r="E437" s="138"/>
      <c r="F437" s="138"/>
      <c r="G437" s="138"/>
      <c r="H437" s="138"/>
      <c r="I437" s="138"/>
      <c r="J437" s="139"/>
    </row>
    <row r="438" spans="1:10">
      <c r="A438" s="8" t="s">
        <v>771</v>
      </c>
      <c r="B438" s="19">
        <v>1656500</v>
      </c>
      <c r="C438" s="19">
        <v>1512300</v>
      </c>
      <c r="D438" s="17">
        <f>B438-C438</f>
        <v>144200</v>
      </c>
      <c r="E438" s="2">
        <f t="shared" si="31"/>
        <v>9.5351451431594264E-2</v>
      </c>
      <c r="F438" s="13" t="s">
        <v>772</v>
      </c>
      <c r="G438" s="100" t="s">
        <v>12</v>
      </c>
      <c r="H438" s="20" t="s">
        <v>63</v>
      </c>
      <c r="I438" s="21"/>
      <c r="J438" s="127">
        <f>SUM(D438:D509)</f>
        <v>41084649.189999998</v>
      </c>
    </row>
    <row r="439" spans="1:10">
      <c r="A439" s="8" t="s">
        <v>771</v>
      </c>
      <c r="B439" s="19">
        <v>2830000</v>
      </c>
      <c r="C439" s="19">
        <v>2650000</v>
      </c>
      <c r="D439" s="17">
        <f t="shared" si="32"/>
        <v>180000</v>
      </c>
      <c r="E439" s="2">
        <f t="shared" si="31"/>
        <v>6.7924528301886791E-2</v>
      </c>
      <c r="F439" s="13" t="s">
        <v>773</v>
      </c>
      <c r="G439" s="100" t="s">
        <v>12</v>
      </c>
      <c r="H439" s="20" t="s">
        <v>63</v>
      </c>
      <c r="I439" s="21"/>
      <c r="J439" s="128"/>
    </row>
    <row r="440" spans="1:10">
      <c r="A440" s="8" t="s">
        <v>224</v>
      </c>
      <c r="B440" s="19">
        <v>8640000</v>
      </c>
      <c r="C440" s="19">
        <v>5670000</v>
      </c>
      <c r="D440" s="17">
        <f t="shared" si="32"/>
        <v>2970000</v>
      </c>
      <c r="E440" s="2">
        <f t="shared" si="31"/>
        <v>0.52380952380952384</v>
      </c>
      <c r="F440" s="13" t="s">
        <v>774</v>
      </c>
      <c r="G440" s="100" t="s">
        <v>12</v>
      </c>
      <c r="H440" s="20" t="s">
        <v>63</v>
      </c>
      <c r="I440" s="21"/>
      <c r="J440" s="128"/>
    </row>
    <row r="441" spans="1:10">
      <c r="A441" s="8" t="s">
        <v>80</v>
      </c>
      <c r="B441" s="19">
        <v>4869000</v>
      </c>
      <c r="C441" s="19">
        <v>4479480</v>
      </c>
      <c r="D441" s="17">
        <f t="shared" si="32"/>
        <v>389520</v>
      </c>
      <c r="E441" s="2">
        <f t="shared" si="31"/>
        <v>8.6956521739130432E-2</v>
      </c>
      <c r="F441" s="13" t="s">
        <v>774</v>
      </c>
      <c r="G441" s="100" t="s">
        <v>12</v>
      </c>
      <c r="H441" s="20" t="s">
        <v>63</v>
      </c>
      <c r="I441" s="21"/>
      <c r="J441" s="128"/>
    </row>
    <row r="442" spans="1:10">
      <c r="A442" s="8" t="s">
        <v>775</v>
      </c>
      <c r="B442" s="19">
        <v>490000</v>
      </c>
      <c r="C442" s="19">
        <v>441000</v>
      </c>
      <c r="D442" s="17">
        <f t="shared" si="32"/>
        <v>49000</v>
      </c>
      <c r="E442" s="2">
        <f t="shared" si="31"/>
        <v>0.1111111111111111</v>
      </c>
      <c r="F442" s="13" t="s">
        <v>774</v>
      </c>
      <c r="G442" s="100" t="s">
        <v>12</v>
      </c>
      <c r="H442" s="20" t="s">
        <v>63</v>
      </c>
      <c r="I442" s="21"/>
      <c r="J442" s="128"/>
    </row>
    <row r="443" spans="1:10">
      <c r="A443" s="8" t="s">
        <v>776</v>
      </c>
      <c r="B443" s="19">
        <v>6538366.5099999998</v>
      </c>
      <c r="C443" s="19">
        <v>6505674.6900000004</v>
      </c>
      <c r="D443" s="17">
        <f t="shared" si="32"/>
        <v>32691.819999999367</v>
      </c>
      <c r="E443" s="2">
        <f t="shared" si="31"/>
        <v>5.0251236893616279E-3</v>
      </c>
      <c r="F443" s="13" t="s">
        <v>777</v>
      </c>
      <c r="G443" s="100" t="s">
        <v>12</v>
      </c>
      <c r="H443" s="20" t="s">
        <v>63</v>
      </c>
      <c r="I443" s="21"/>
      <c r="J443" s="128"/>
    </row>
    <row r="444" spans="1:10">
      <c r="A444" s="8" t="s">
        <v>776</v>
      </c>
      <c r="B444" s="19">
        <v>3124300.5</v>
      </c>
      <c r="C444" s="19">
        <v>2968085.48</v>
      </c>
      <c r="D444" s="17">
        <f t="shared" si="32"/>
        <v>156215.02000000002</v>
      </c>
      <c r="E444" s="2">
        <f t="shared" si="31"/>
        <v>5.2631577174118323E-2</v>
      </c>
      <c r="F444" s="13" t="s">
        <v>778</v>
      </c>
      <c r="G444" s="100" t="s">
        <v>12</v>
      </c>
      <c r="H444" s="20" t="s">
        <v>779</v>
      </c>
      <c r="I444" s="21"/>
      <c r="J444" s="128"/>
    </row>
    <row r="445" spans="1:10">
      <c r="A445" s="8" t="s">
        <v>776</v>
      </c>
      <c r="B445" s="19">
        <v>6625483.6299999999</v>
      </c>
      <c r="C445" s="19">
        <v>4337904</v>
      </c>
      <c r="D445" s="17">
        <f t="shared" si="32"/>
        <v>2287579.63</v>
      </c>
      <c r="E445" s="2">
        <f t="shared" si="31"/>
        <v>0.52734676239953671</v>
      </c>
      <c r="F445" s="13" t="s">
        <v>780</v>
      </c>
      <c r="G445" s="100" t="s">
        <v>12</v>
      </c>
      <c r="H445" s="20" t="s">
        <v>38</v>
      </c>
      <c r="I445" s="21"/>
      <c r="J445" s="128"/>
    </row>
    <row r="446" spans="1:10">
      <c r="A446" s="8" t="s">
        <v>776</v>
      </c>
      <c r="B446" s="19">
        <v>3441791.3</v>
      </c>
      <c r="C446" s="19">
        <v>1944547.5</v>
      </c>
      <c r="D446" s="17">
        <f t="shared" si="32"/>
        <v>1497243.7999999998</v>
      </c>
      <c r="E446" s="2">
        <f t="shared" si="31"/>
        <v>0.76997028871755502</v>
      </c>
      <c r="F446" s="13" t="s">
        <v>781</v>
      </c>
      <c r="G446" s="100" t="s">
        <v>12</v>
      </c>
      <c r="H446" s="20" t="s">
        <v>38</v>
      </c>
      <c r="I446" s="21"/>
      <c r="J446" s="128"/>
    </row>
    <row r="447" spans="1:10">
      <c r="A447" s="8" t="s">
        <v>776</v>
      </c>
      <c r="B447" s="19">
        <v>1444795</v>
      </c>
      <c r="C447" s="19">
        <v>571095</v>
      </c>
      <c r="D447" s="17">
        <f t="shared" si="32"/>
        <v>873700</v>
      </c>
      <c r="E447" s="2">
        <f t="shared" si="31"/>
        <v>1.5298680604803054</v>
      </c>
      <c r="F447" s="13" t="s">
        <v>758</v>
      </c>
      <c r="G447" s="100" t="s">
        <v>12</v>
      </c>
      <c r="H447" s="20" t="s">
        <v>38</v>
      </c>
      <c r="I447" s="21"/>
      <c r="J447" s="128"/>
    </row>
    <row r="448" spans="1:10">
      <c r="A448" s="8" t="s">
        <v>776</v>
      </c>
      <c r="B448" s="19">
        <v>389994</v>
      </c>
      <c r="C448" s="19">
        <v>97207.5</v>
      </c>
      <c r="D448" s="17">
        <f t="shared" si="32"/>
        <v>292786.5</v>
      </c>
      <c r="E448" s="2">
        <f t="shared" si="31"/>
        <v>3.0119743846925391</v>
      </c>
      <c r="F448" s="13" t="s">
        <v>758</v>
      </c>
      <c r="G448" s="100" t="s">
        <v>12</v>
      </c>
      <c r="H448" s="20" t="s">
        <v>38</v>
      </c>
      <c r="I448" s="21"/>
      <c r="J448" s="128"/>
    </row>
    <row r="449" spans="1:10">
      <c r="A449" s="8" t="s">
        <v>776</v>
      </c>
      <c r="B449" s="19">
        <v>1833350.75</v>
      </c>
      <c r="C449" s="19">
        <v>656049</v>
      </c>
      <c r="D449" s="17">
        <f t="shared" si="32"/>
        <v>1177301.75</v>
      </c>
      <c r="E449" s="2">
        <f t="shared" si="31"/>
        <v>1.7945332589486456</v>
      </c>
      <c r="F449" s="13" t="s">
        <v>758</v>
      </c>
      <c r="G449" s="100" t="s">
        <v>12</v>
      </c>
      <c r="H449" s="20" t="s">
        <v>38</v>
      </c>
      <c r="I449" s="21"/>
      <c r="J449" s="128"/>
    </row>
    <row r="450" spans="1:10">
      <c r="A450" s="8" t="s">
        <v>80</v>
      </c>
      <c r="B450" s="19">
        <v>14274437</v>
      </c>
      <c r="C450" s="19">
        <v>13560734.199999999</v>
      </c>
      <c r="D450" s="17">
        <f t="shared" si="32"/>
        <v>713702.80000000075</v>
      </c>
      <c r="E450" s="2">
        <f t="shared" si="31"/>
        <v>5.2630100219794945E-2</v>
      </c>
      <c r="F450" s="13" t="s">
        <v>782</v>
      </c>
      <c r="G450" s="100" t="s">
        <v>12</v>
      </c>
      <c r="H450" s="20" t="s">
        <v>63</v>
      </c>
      <c r="I450" s="21"/>
      <c r="J450" s="128"/>
    </row>
    <row r="451" spans="1:10">
      <c r="A451" s="8" t="s">
        <v>783</v>
      </c>
      <c r="B451" s="19">
        <v>285076</v>
      </c>
      <c r="C451" s="19">
        <v>270072</v>
      </c>
      <c r="D451" s="17">
        <f t="shared" si="32"/>
        <v>15004</v>
      </c>
      <c r="E451" s="2">
        <f t="shared" si="31"/>
        <v>5.5555555555555552E-2</v>
      </c>
      <c r="F451" s="13" t="s">
        <v>784</v>
      </c>
      <c r="G451" s="100" t="s">
        <v>12</v>
      </c>
      <c r="H451" s="20" t="s">
        <v>63</v>
      </c>
      <c r="I451" s="21" t="s">
        <v>785</v>
      </c>
      <c r="J451" s="128"/>
    </row>
    <row r="452" spans="1:10">
      <c r="A452" s="8" t="s">
        <v>80</v>
      </c>
      <c r="B452" s="19">
        <v>14274457</v>
      </c>
      <c r="C452" s="19">
        <v>13560734.199999999</v>
      </c>
      <c r="D452" s="17">
        <f t="shared" si="32"/>
        <v>713722.80000000075</v>
      </c>
      <c r="E452" s="2">
        <f t="shared" ref="E452:F515" si="35">(B452-C452)/C452</f>
        <v>5.2631575066193745E-2</v>
      </c>
      <c r="F452" s="13" t="s">
        <v>786</v>
      </c>
      <c r="G452" s="100" t="s">
        <v>12</v>
      </c>
      <c r="H452" s="20" t="s">
        <v>63</v>
      </c>
      <c r="I452" s="21"/>
      <c r="J452" s="128"/>
    </row>
    <row r="453" spans="1:10">
      <c r="A453" s="8" t="s">
        <v>619</v>
      </c>
      <c r="B453" s="19">
        <v>974200</v>
      </c>
      <c r="C453" s="19">
        <v>876780</v>
      </c>
      <c r="D453" s="17">
        <f>B453-C453</f>
        <v>97420</v>
      </c>
      <c r="E453" s="2">
        <f t="shared" si="35"/>
        <v>0.1111111111111111</v>
      </c>
      <c r="F453" s="13" t="s">
        <v>787</v>
      </c>
      <c r="G453" s="100" t="s">
        <v>12</v>
      </c>
      <c r="H453" s="20" t="s">
        <v>325</v>
      </c>
      <c r="I453" s="21" t="s">
        <v>785</v>
      </c>
      <c r="J453" s="128"/>
    </row>
    <row r="454" spans="1:10">
      <c r="A454" s="8" t="s">
        <v>619</v>
      </c>
      <c r="B454" s="19">
        <v>3836000</v>
      </c>
      <c r="C454" s="19">
        <v>3452400</v>
      </c>
      <c r="D454" s="17">
        <f t="shared" ref="D454:D515" si="36">B454-C454</f>
        <v>383600</v>
      </c>
      <c r="E454" s="2">
        <f t="shared" si="35"/>
        <v>0.1111111111111111</v>
      </c>
      <c r="F454" s="13" t="s">
        <v>788</v>
      </c>
      <c r="G454" s="100" t="s">
        <v>12</v>
      </c>
      <c r="H454" s="20" t="s">
        <v>325</v>
      </c>
      <c r="I454" s="21" t="s">
        <v>785</v>
      </c>
      <c r="J454" s="128"/>
    </row>
    <row r="455" spans="1:10">
      <c r="A455" s="8" t="s">
        <v>599</v>
      </c>
      <c r="B455" s="19">
        <v>1290000</v>
      </c>
      <c r="C455" s="19">
        <v>930000</v>
      </c>
      <c r="D455" s="17">
        <f t="shared" si="36"/>
        <v>360000</v>
      </c>
      <c r="E455" s="2">
        <f t="shared" si="35"/>
        <v>0.38709677419354838</v>
      </c>
      <c r="F455" s="13" t="s">
        <v>789</v>
      </c>
      <c r="G455" s="100" t="s">
        <v>12</v>
      </c>
      <c r="H455" s="20" t="s">
        <v>790</v>
      </c>
      <c r="I455" s="21" t="s">
        <v>791</v>
      </c>
      <c r="J455" s="128"/>
    </row>
    <row r="456" spans="1:10">
      <c r="A456" s="8" t="s">
        <v>395</v>
      </c>
      <c r="B456" s="19">
        <v>7145800</v>
      </c>
      <c r="C456" s="19">
        <v>6490236</v>
      </c>
      <c r="D456" s="17">
        <f t="shared" si="36"/>
        <v>655564</v>
      </c>
      <c r="E456" s="2">
        <f t="shared" si="35"/>
        <v>0.10100772914883219</v>
      </c>
      <c r="F456" s="13" t="s">
        <v>792</v>
      </c>
      <c r="G456" s="100" t="s">
        <v>12</v>
      </c>
      <c r="H456" s="20" t="s">
        <v>584</v>
      </c>
      <c r="I456" s="21" t="s">
        <v>793</v>
      </c>
      <c r="J456" s="128"/>
    </row>
    <row r="457" spans="1:10">
      <c r="A457" s="8" t="s">
        <v>160</v>
      </c>
      <c r="B457" s="19">
        <v>2403430</v>
      </c>
      <c r="C457" s="19">
        <v>2331325</v>
      </c>
      <c r="D457" s="17">
        <f t="shared" si="36"/>
        <v>72105</v>
      </c>
      <c r="E457" s="2">
        <f t="shared" si="35"/>
        <v>3.0928763685886779E-2</v>
      </c>
      <c r="F457" s="13" t="s">
        <v>794</v>
      </c>
      <c r="G457" s="100" t="s">
        <v>12</v>
      </c>
      <c r="H457" s="20" t="s">
        <v>63</v>
      </c>
      <c r="I457" s="21"/>
      <c r="J457" s="128"/>
    </row>
    <row r="458" spans="1:10">
      <c r="A458" s="8" t="s">
        <v>160</v>
      </c>
      <c r="B458" s="19">
        <v>2403430</v>
      </c>
      <c r="C458" s="19">
        <v>2331325</v>
      </c>
      <c r="D458" s="17">
        <f t="shared" si="36"/>
        <v>72105</v>
      </c>
      <c r="E458" s="2">
        <f t="shared" si="35"/>
        <v>3.0928763685886779E-2</v>
      </c>
      <c r="F458" s="13" t="s">
        <v>795</v>
      </c>
      <c r="G458" s="100" t="s">
        <v>12</v>
      </c>
      <c r="H458" s="20" t="s">
        <v>63</v>
      </c>
      <c r="I458" s="21"/>
      <c r="J458" s="128"/>
    </row>
    <row r="459" spans="1:10">
      <c r="A459" s="8" t="s">
        <v>160</v>
      </c>
      <c r="B459" s="19">
        <v>2403430</v>
      </c>
      <c r="C459" s="19">
        <v>2331325</v>
      </c>
      <c r="D459" s="17">
        <f t="shared" si="36"/>
        <v>72105</v>
      </c>
      <c r="E459" s="2">
        <f t="shared" si="35"/>
        <v>3.0928763685886779E-2</v>
      </c>
      <c r="F459" s="13" t="s">
        <v>796</v>
      </c>
      <c r="G459" s="100" t="s">
        <v>12</v>
      </c>
      <c r="H459" s="20" t="s">
        <v>63</v>
      </c>
      <c r="I459" s="21"/>
      <c r="J459" s="128"/>
    </row>
    <row r="460" spans="1:10">
      <c r="A460" s="8" t="s">
        <v>160</v>
      </c>
      <c r="B460" s="19">
        <v>2403430</v>
      </c>
      <c r="C460" s="19">
        <v>2331325</v>
      </c>
      <c r="D460" s="17">
        <f t="shared" si="36"/>
        <v>72105</v>
      </c>
      <c r="E460" s="2">
        <f t="shared" si="35"/>
        <v>3.0928763685886779E-2</v>
      </c>
      <c r="F460" s="13" t="s">
        <v>764</v>
      </c>
      <c r="G460" s="100" t="s">
        <v>12</v>
      </c>
      <c r="H460" s="20" t="s">
        <v>63</v>
      </c>
      <c r="I460" s="21"/>
      <c r="J460" s="128"/>
    </row>
    <row r="461" spans="1:10">
      <c r="A461" s="8" t="s">
        <v>160</v>
      </c>
      <c r="B461" s="19">
        <v>2403430</v>
      </c>
      <c r="C461" s="19">
        <v>2331325</v>
      </c>
      <c r="D461" s="17">
        <f t="shared" si="36"/>
        <v>72105</v>
      </c>
      <c r="E461" s="2">
        <f t="shared" si="35"/>
        <v>3.0928763685886779E-2</v>
      </c>
      <c r="F461" s="13" t="s">
        <v>797</v>
      </c>
      <c r="G461" s="100" t="s">
        <v>12</v>
      </c>
      <c r="H461" s="20" t="s">
        <v>63</v>
      </c>
      <c r="I461" s="21"/>
      <c r="J461" s="128"/>
    </row>
    <row r="462" spans="1:10">
      <c r="A462" s="8" t="s">
        <v>160</v>
      </c>
      <c r="B462" s="19">
        <v>2403430</v>
      </c>
      <c r="C462" s="19">
        <v>2331325</v>
      </c>
      <c r="D462" s="17">
        <f t="shared" si="36"/>
        <v>72105</v>
      </c>
      <c r="E462" s="2">
        <f t="shared" si="35"/>
        <v>3.0928763685886779E-2</v>
      </c>
      <c r="F462" s="13" t="s">
        <v>798</v>
      </c>
      <c r="G462" s="100" t="s">
        <v>12</v>
      </c>
      <c r="H462" s="20" t="s">
        <v>63</v>
      </c>
      <c r="I462" s="21"/>
      <c r="J462" s="128"/>
    </row>
    <row r="463" spans="1:10">
      <c r="A463" s="8" t="s">
        <v>776</v>
      </c>
      <c r="B463" s="19">
        <v>1469788.63</v>
      </c>
      <c r="C463" s="19">
        <v>719285.85</v>
      </c>
      <c r="D463" s="17">
        <f t="shared" si="36"/>
        <v>750502.77999999991</v>
      </c>
      <c r="E463" s="2">
        <f t="shared" si="35"/>
        <v>1.043399894492572</v>
      </c>
      <c r="F463" s="13" t="s">
        <v>799</v>
      </c>
      <c r="G463" s="100" t="s">
        <v>12</v>
      </c>
      <c r="H463" s="20" t="s">
        <v>38</v>
      </c>
      <c r="I463" s="21"/>
      <c r="J463" s="128"/>
    </row>
    <row r="464" spans="1:10">
      <c r="A464" s="8" t="s">
        <v>776</v>
      </c>
      <c r="B464" s="19">
        <v>1950000</v>
      </c>
      <c r="C464" s="19">
        <v>1583400</v>
      </c>
      <c r="D464" s="17">
        <f t="shared" si="36"/>
        <v>366600</v>
      </c>
      <c r="E464" s="2">
        <f t="shared" si="35"/>
        <v>0.23152709359605911</v>
      </c>
      <c r="F464" s="13" t="s">
        <v>800</v>
      </c>
      <c r="G464" s="100" t="s">
        <v>12</v>
      </c>
      <c r="H464" s="20" t="s">
        <v>38</v>
      </c>
      <c r="I464" s="21"/>
      <c r="J464" s="128"/>
    </row>
    <row r="465" spans="1:10">
      <c r="A465" s="8" t="s">
        <v>776</v>
      </c>
      <c r="B465" s="19">
        <v>1987500</v>
      </c>
      <c r="C465" s="19">
        <v>1583400</v>
      </c>
      <c r="D465" s="17">
        <f t="shared" si="36"/>
        <v>404100</v>
      </c>
      <c r="E465" s="2">
        <f t="shared" si="35"/>
        <v>0.25521030693444485</v>
      </c>
      <c r="F465" s="13" t="s">
        <v>800</v>
      </c>
      <c r="G465" s="100" t="s">
        <v>12</v>
      </c>
      <c r="H465" s="20" t="s">
        <v>38</v>
      </c>
      <c r="I465" s="21"/>
      <c r="J465" s="128"/>
    </row>
    <row r="466" spans="1:10">
      <c r="A466" s="8" t="s">
        <v>776</v>
      </c>
      <c r="B466" s="19">
        <v>445400</v>
      </c>
      <c r="C466" s="19">
        <v>329700.42</v>
      </c>
      <c r="D466" s="17">
        <f t="shared" si="36"/>
        <v>115699.58000000002</v>
      </c>
      <c r="E466" s="2">
        <f t="shared" si="35"/>
        <v>0.35092336248767902</v>
      </c>
      <c r="F466" s="13" t="s">
        <v>801</v>
      </c>
      <c r="G466" s="100" t="s">
        <v>12</v>
      </c>
      <c r="H466" s="20" t="s">
        <v>38</v>
      </c>
      <c r="I466" s="21"/>
      <c r="J466" s="128"/>
    </row>
    <row r="467" spans="1:10">
      <c r="A467" s="8" t="s">
        <v>148</v>
      </c>
      <c r="B467" s="19">
        <v>271800</v>
      </c>
      <c r="C467" s="19">
        <v>256700</v>
      </c>
      <c r="D467" s="17">
        <f t="shared" si="36"/>
        <v>15100</v>
      </c>
      <c r="E467" s="2">
        <f t="shared" si="35"/>
        <v>5.8823529411764705E-2</v>
      </c>
      <c r="F467" s="13" t="s">
        <v>802</v>
      </c>
      <c r="G467" s="100" t="s">
        <v>12</v>
      </c>
      <c r="H467" s="20" t="s">
        <v>63</v>
      </c>
      <c r="I467" s="21"/>
      <c r="J467" s="128"/>
    </row>
    <row r="468" spans="1:10">
      <c r="A468" s="8" t="s">
        <v>148</v>
      </c>
      <c r="B468" s="19">
        <v>101337</v>
      </c>
      <c r="C468" s="19">
        <v>95706</v>
      </c>
      <c r="D468" s="17">
        <f t="shared" si="36"/>
        <v>5631</v>
      </c>
      <c r="E468" s="2">
        <f t="shared" si="35"/>
        <v>5.8836436587047833E-2</v>
      </c>
      <c r="F468" s="13" t="s">
        <v>803</v>
      </c>
      <c r="G468" s="100" t="s">
        <v>12</v>
      </c>
      <c r="H468" s="20" t="s">
        <v>63</v>
      </c>
      <c r="I468" s="21"/>
      <c r="J468" s="128"/>
    </row>
    <row r="469" spans="1:10">
      <c r="A469" s="8" t="s">
        <v>148</v>
      </c>
      <c r="B469" s="19">
        <v>180260</v>
      </c>
      <c r="C469" s="19">
        <v>171490</v>
      </c>
      <c r="D469" s="17">
        <f t="shared" si="36"/>
        <v>8770</v>
      </c>
      <c r="E469" s="2">
        <f t="shared" si="35"/>
        <v>5.1140008163741327E-2</v>
      </c>
      <c r="F469" s="13" t="s">
        <v>804</v>
      </c>
      <c r="G469" s="100" t="s">
        <v>12</v>
      </c>
      <c r="H469" s="20" t="s">
        <v>63</v>
      </c>
      <c r="I469" s="21"/>
      <c r="J469" s="128"/>
    </row>
    <row r="470" spans="1:10">
      <c r="A470" s="8" t="s">
        <v>573</v>
      </c>
      <c r="B470" s="19">
        <v>598500</v>
      </c>
      <c r="C470" s="19">
        <v>548600</v>
      </c>
      <c r="D470" s="17">
        <f t="shared" si="36"/>
        <v>49900</v>
      </c>
      <c r="E470" s="2">
        <f t="shared" si="35"/>
        <v>9.0958804228946408E-2</v>
      </c>
      <c r="F470" s="13" t="s">
        <v>687</v>
      </c>
      <c r="G470" s="100" t="s">
        <v>12</v>
      </c>
      <c r="H470" s="20" t="s">
        <v>63</v>
      </c>
      <c r="I470" s="21"/>
      <c r="J470" s="128"/>
    </row>
    <row r="471" spans="1:10">
      <c r="A471" s="8" t="s">
        <v>148</v>
      </c>
      <c r="B471" s="19">
        <v>316800</v>
      </c>
      <c r="C471" s="19">
        <v>299200</v>
      </c>
      <c r="D471" s="17">
        <f t="shared" si="36"/>
        <v>17600</v>
      </c>
      <c r="E471" s="2">
        <f t="shared" si="35"/>
        <v>5.8823529411764705E-2</v>
      </c>
      <c r="F471" s="13" t="s">
        <v>768</v>
      </c>
      <c r="G471" s="100" t="s">
        <v>12</v>
      </c>
      <c r="H471" s="20" t="s">
        <v>63</v>
      </c>
      <c r="I471" s="21"/>
      <c r="J471" s="128"/>
    </row>
    <row r="472" spans="1:10">
      <c r="A472" s="8" t="s">
        <v>776</v>
      </c>
      <c r="B472" s="19">
        <v>38391952.07</v>
      </c>
      <c r="C472" s="19">
        <v>32633159.260000002</v>
      </c>
      <c r="D472" s="17">
        <f t="shared" si="36"/>
        <v>5758792.8099999987</v>
      </c>
      <c r="E472" s="2">
        <f t="shared" si="35"/>
        <v>0.17647058821726838</v>
      </c>
      <c r="F472" s="13" t="s">
        <v>805</v>
      </c>
      <c r="G472" s="100" t="s">
        <v>12</v>
      </c>
      <c r="H472" s="20" t="s">
        <v>779</v>
      </c>
      <c r="I472" s="21"/>
      <c r="J472" s="128"/>
    </row>
    <row r="473" spans="1:10">
      <c r="A473" s="8" t="s">
        <v>806</v>
      </c>
      <c r="B473" s="19">
        <v>1384083</v>
      </c>
      <c r="C473" s="19">
        <v>1307189</v>
      </c>
      <c r="D473" s="17">
        <f t="shared" si="36"/>
        <v>76894</v>
      </c>
      <c r="E473" s="2">
        <f>(B473-C473)/C473</f>
        <v>5.8823934411932781E-2</v>
      </c>
      <c r="F473" s="13" t="s">
        <v>807</v>
      </c>
      <c r="G473" s="100" t="s">
        <v>12</v>
      </c>
      <c r="H473" s="20" t="s">
        <v>325</v>
      </c>
      <c r="I473" s="21"/>
      <c r="J473" s="128"/>
    </row>
    <row r="474" spans="1:10">
      <c r="A474" s="8" t="s">
        <v>806</v>
      </c>
      <c r="B474" s="19">
        <v>246600</v>
      </c>
      <c r="C474" s="19">
        <v>234270</v>
      </c>
      <c r="D474" s="17">
        <f t="shared" si="36"/>
        <v>12330</v>
      </c>
      <c r="E474" s="2">
        <f t="shared" si="35"/>
        <v>5.2631578947368418E-2</v>
      </c>
      <c r="F474" s="13" t="s">
        <v>808</v>
      </c>
      <c r="G474" s="100" t="s">
        <v>12</v>
      </c>
      <c r="H474" s="20" t="s">
        <v>325</v>
      </c>
      <c r="I474" s="21"/>
      <c r="J474" s="128"/>
    </row>
    <row r="475" spans="1:10">
      <c r="A475" s="8" t="s">
        <v>806</v>
      </c>
      <c r="B475" s="19">
        <v>587012</v>
      </c>
      <c r="C475" s="19">
        <v>554401</v>
      </c>
      <c r="D475" s="17">
        <f t="shared" si="36"/>
        <v>32611</v>
      </c>
      <c r="E475" s="2">
        <f t="shared" si="35"/>
        <v>5.8822043971782159E-2</v>
      </c>
      <c r="F475" s="13" t="s">
        <v>809</v>
      </c>
      <c r="G475" s="100" t="s">
        <v>12</v>
      </c>
      <c r="H475" s="20" t="s">
        <v>325</v>
      </c>
      <c r="I475" s="21"/>
      <c r="J475" s="128"/>
    </row>
    <row r="476" spans="1:10">
      <c r="A476" s="8" t="s">
        <v>806</v>
      </c>
      <c r="B476" s="19">
        <v>708286</v>
      </c>
      <c r="C476" s="19">
        <v>668937</v>
      </c>
      <c r="D476" s="17">
        <f t="shared" si="36"/>
        <v>39349</v>
      </c>
      <c r="E476" s="2">
        <f t="shared" si="35"/>
        <v>5.8823177668450091E-2</v>
      </c>
      <c r="F476" s="13" t="s">
        <v>810</v>
      </c>
      <c r="G476" s="100" t="s">
        <v>12</v>
      </c>
      <c r="H476" s="20" t="s">
        <v>325</v>
      </c>
      <c r="I476" s="21"/>
      <c r="J476" s="128"/>
    </row>
    <row r="477" spans="1:10">
      <c r="A477" s="8" t="s">
        <v>806</v>
      </c>
      <c r="B477" s="19">
        <v>278926</v>
      </c>
      <c r="C477" s="19">
        <v>263430</v>
      </c>
      <c r="D477" s="17">
        <f t="shared" si="36"/>
        <v>15496</v>
      </c>
      <c r="E477" s="2">
        <f t="shared" si="35"/>
        <v>5.8823976008806893E-2</v>
      </c>
      <c r="F477" s="13" t="s">
        <v>811</v>
      </c>
      <c r="G477" s="100" t="s">
        <v>12</v>
      </c>
      <c r="H477" s="20" t="s">
        <v>325</v>
      </c>
      <c r="I477" s="21"/>
      <c r="J477" s="128"/>
    </row>
    <row r="478" spans="1:10">
      <c r="A478" s="8" t="s">
        <v>806</v>
      </c>
      <c r="B478" s="19">
        <v>449640</v>
      </c>
      <c r="C478" s="19">
        <v>424660</v>
      </c>
      <c r="D478" s="17">
        <f t="shared" si="36"/>
        <v>24980</v>
      </c>
      <c r="E478" s="2">
        <f t="shared" si="35"/>
        <v>5.8823529411764705E-2</v>
      </c>
      <c r="F478" s="13" t="s">
        <v>812</v>
      </c>
      <c r="G478" s="100" t="s">
        <v>12</v>
      </c>
      <c r="H478" s="20" t="s">
        <v>325</v>
      </c>
      <c r="I478" s="21"/>
      <c r="J478" s="128"/>
    </row>
    <row r="479" spans="1:10">
      <c r="A479" s="8" t="s">
        <v>813</v>
      </c>
      <c r="B479" s="19">
        <v>1700000</v>
      </c>
      <c r="C479" s="19">
        <v>1530000</v>
      </c>
      <c r="D479" s="17">
        <f t="shared" si="36"/>
        <v>170000</v>
      </c>
      <c r="E479" s="2">
        <f t="shared" si="35"/>
        <v>0.1111111111111111</v>
      </c>
      <c r="F479" s="13" t="s">
        <v>814</v>
      </c>
      <c r="G479" s="100" t="s">
        <v>12</v>
      </c>
      <c r="H479" s="20" t="s">
        <v>30</v>
      </c>
      <c r="I479" s="21" t="s">
        <v>630</v>
      </c>
      <c r="J479" s="128"/>
    </row>
    <row r="480" spans="1:10">
      <c r="A480" s="8" t="s">
        <v>813</v>
      </c>
      <c r="B480" s="19">
        <v>1700000</v>
      </c>
      <c r="C480" s="19">
        <v>1530000</v>
      </c>
      <c r="D480" s="17">
        <f t="shared" si="36"/>
        <v>170000</v>
      </c>
      <c r="E480" s="2">
        <f t="shared" si="35"/>
        <v>0.1111111111111111</v>
      </c>
      <c r="F480" s="13" t="s">
        <v>815</v>
      </c>
      <c r="G480" s="100" t="s">
        <v>12</v>
      </c>
      <c r="H480" s="20" t="s">
        <v>30</v>
      </c>
      <c r="I480" s="21" t="s">
        <v>630</v>
      </c>
      <c r="J480" s="128"/>
    </row>
    <row r="481" spans="1:10">
      <c r="A481" s="8" t="s">
        <v>813</v>
      </c>
      <c r="B481" s="19">
        <v>1700000</v>
      </c>
      <c r="C481" s="19">
        <v>1530000</v>
      </c>
      <c r="D481" s="17">
        <f t="shared" si="36"/>
        <v>170000</v>
      </c>
      <c r="E481" s="2">
        <f t="shared" si="35"/>
        <v>0.1111111111111111</v>
      </c>
      <c r="F481" s="13" t="s">
        <v>816</v>
      </c>
      <c r="G481" s="100" t="s">
        <v>12</v>
      </c>
      <c r="H481" s="20" t="s">
        <v>30</v>
      </c>
      <c r="I481" s="21" t="s">
        <v>630</v>
      </c>
      <c r="J481" s="128"/>
    </row>
    <row r="482" spans="1:10">
      <c r="A482" s="8" t="s">
        <v>148</v>
      </c>
      <c r="B482" s="19">
        <v>3049200</v>
      </c>
      <c r="C482" s="19">
        <v>2879800</v>
      </c>
      <c r="D482" s="17">
        <f t="shared" si="36"/>
        <v>169400</v>
      </c>
      <c r="E482" s="2">
        <f t="shared" si="35"/>
        <v>5.8823529411764705E-2</v>
      </c>
      <c r="F482" s="13" t="s">
        <v>817</v>
      </c>
      <c r="G482" s="100" t="s">
        <v>12</v>
      </c>
      <c r="H482" s="20" t="s">
        <v>63</v>
      </c>
      <c r="I482" s="21" t="s">
        <v>818</v>
      </c>
      <c r="J482" s="128"/>
    </row>
    <row r="483" spans="1:10">
      <c r="A483" s="8" t="s">
        <v>424</v>
      </c>
      <c r="B483" s="19">
        <v>3450000</v>
      </c>
      <c r="C483" s="19">
        <v>3000000</v>
      </c>
      <c r="D483" s="17">
        <f t="shared" si="36"/>
        <v>450000</v>
      </c>
      <c r="E483" s="2">
        <f t="shared" si="35"/>
        <v>0.15</v>
      </c>
      <c r="F483" s="13" t="s">
        <v>819</v>
      </c>
      <c r="G483" s="100" t="s">
        <v>12</v>
      </c>
      <c r="H483" s="20" t="s">
        <v>584</v>
      </c>
      <c r="I483" s="21" t="s">
        <v>820</v>
      </c>
      <c r="J483" s="128"/>
    </row>
    <row r="484" spans="1:10">
      <c r="A484" s="8" t="s">
        <v>160</v>
      </c>
      <c r="B484" s="19">
        <v>4275000</v>
      </c>
      <c r="C484" s="17">
        <v>4125950</v>
      </c>
      <c r="D484" s="17">
        <f t="shared" si="36"/>
        <v>149050</v>
      </c>
      <c r="E484" s="2">
        <f t="shared" si="35"/>
        <v>3.6125013633223867E-2</v>
      </c>
      <c r="F484" s="13" t="s">
        <v>821</v>
      </c>
      <c r="G484" s="100" t="s">
        <v>12</v>
      </c>
      <c r="H484" s="20" t="s">
        <v>584</v>
      </c>
      <c r="I484" s="21" t="s">
        <v>822</v>
      </c>
      <c r="J484" s="128"/>
    </row>
    <row r="485" spans="1:10">
      <c r="A485" s="8" t="s">
        <v>363</v>
      </c>
      <c r="B485" s="19">
        <v>93000000</v>
      </c>
      <c r="C485" s="19">
        <v>88350000</v>
      </c>
      <c r="D485" s="17">
        <f t="shared" si="36"/>
        <v>4650000</v>
      </c>
      <c r="E485" s="2">
        <f t="shared" si="35"/>
        <v>5.2631578947368418E-2</v>
      </c>
      <c r="F485" s="13" t="s">
        <v>823</v>
      </c>
      <c r="G485" s="100" t="s">
        <v>12</v>
      </c>
      <c r="H485" s="20" t="s">
        <v>63</v>
      </c>
      <c r="I485" s="21"/>
      <c r="J485" s="128"/>
    </row>
    <row r="486" spans="1:10">
      <c r="A486" s="138" t="s">
        <v>824</v>
      </c>
      <c r="B486" s="138"/>
      <c r="C486" s="138"/>
      <c r="D486" s="138"/>
      <c r="E486" s="138"/>
      <c r="F486" s="138"/>
      <c r="G486" s="155"/>
      <c r="H486" s="138"/>
      <c r="I486" s="138"/>
      <c r="J486" s="139"/>
    </row>
    <row r="487" spans="1:10">
      <c r="A487" s="8" t="s">
        <v>825</v>
      </c>
      <c r="B487" s="19">
        <v>174320</v>
      </c>
      <c r="C487" s="19">
        <v>168830</v>
      </c>
      <c r="D487" s="17">
        <f t="shared" si="36"/>
        <v>5490</v>
      </c>
      <c r="E487" s="2">
        <f t="shared" si="35"/>
        <v>3.2517917431736064E-2</v>
      </c>
      <c r="F487" s="13" t="s">
        <v>826</v>
      </c>
      <c r="G487" s="100" t="s">
        <v>73</v>
      </c>
      <c r="H487" s="20" t="s">
        <v>827</v>
      </c>
      <c r="I487" s="21" t="s">
        <v>828</v>
      </c>
      <c r="J487" s="128">
        <f>SUM(D487:D509)</f>
        <v>14039960.9</v>
      </c>
    </row>
    <row r="488" spans="1:10">
      <c r="A488" s="8" t="s">
        <v>825</v>
      </c>
      <c r="B488" s="19">
        <v>1049370</v>
      </c>
      <c r="C488" s="19">
        <v>1017980</v>
      </c>
      <c r="D488" s="17">
        <f t="shared" si="36"/>
        <v>31390</v>
      </c>
      <c r="E488" s="2">
        <f t="shared" si="35"/>
        <v>3.0835576337452601E-2</v>
      </c>
      <c r="F488" s="13" t="s">
        <v>829</v>
      </c>
      <c r="G488" s="100" t="s">
        <v>73</v>
      </c>
      <c r="H488" s="20" t="s">
        <v>827</v>
      </c>
      <c r="I488" s="21" t="s">
        <v>828</v>
      </c>
      <c r="J488" s="128"/>
    </row>
    <row r="489" spans="1:10">
      <c r="A489" s="8" t="s">
        <v>825</v>
      </c>
      <c r="B489" s="19">
        <v>5642720</v>
      </c>
      <c r="C489" s="19">
        <v>5472440</v>
      </c>
      <c r="D489" s="17">
        <f t="shared" si="36"/>
        <v>170280</v>
      </c>
      <c r="E489" s="2">
        <f t="shared" si="35"/>
        <v>3.1115919041597533E-2</v>
      </c>
      <c r="F489" s="13" t="s">
        <v>830</v>
      </c>
      <c r="G489" s="100" t="s">
        <v>73</v>
      </c>
      <c r="H489" s="20" t="s">
        <v>827</v>
      </c>
      <c r="I489" s="21" t="s">
        <v>831</v>
      </c>
      <c r="J489" s="128"/>
    </row>
    <row r="490" spans="1:10">
      <c r="A490" s="8" t="s">
        <v>457</v>
      </c>
      <c r="B490" s="19">
        <v>1235378</v>
      </c>
      <c r="C490" s="19">
        <v>1170379</v>
      </c>
      <c r="D490" s="17">
        <f t="shared" si="36"/>
        <v>64999</v>
      </c>
      <c r="E490" s="2">
        <f t="shared" si="35"/>
        <v>5.5536710757797259E-2</v>
      </c>
      <c r="F490" s="13" t="s">
        <v>832</v>
      </c>
      <c r="G490" s="100" t="s">
        <v>73</v>
      </c>
      <c r="H490" s="20" t="s">
        <v>827</v>
      </c>
      <c r="I490" s="49" t="s">
        <v>831</v>
      </c>
      <c r="J490" s="128"/>
    </row>
    <row r="491" spans="1:10">
      <c r="A491" s="8" t="s">
        <v>783</v>
      </c>
      <c r="B491" s="19">
        <v>135828</v>
      </c>
      <c r="C491" s="19">
        <v>127339</v>
      </c>
      <c r="D491" s="17">
        <f t="shared" si="36"/>
        <v>8489</v>
      </c>
      <c r="E491" s="2">
        <f t="shared" si="35"/>
        <v>6.6664572519024023E-2</v>
      </c>
      <c r="F491" s="13" t="s">
        <v>833</v>
      </c>
      <c r="G491" s="100" t="s">
        <v>73</v>
      </c>
      <c r="H491" s="20" t="s">
        <v>827</v>
      </c>
      <c r="I491" s="49" t="s">
        <v>831</v>
      </c>
      <c r="J491" s="128"/>
    </row>
    <row r="492" spans="1:10">
      <c r="A492" s="8" t="s">
        <v>457</v>
      </c>
      <c r="B492" s="19">
        <v>159321</v>
      </c>
      <c r="C492" s="19">
        <v>150936</v>
      </c>
      <c r="D492" s="17">
        <f t="shared" si="36"/>
        <v>8385</v>
      </c>
      <c r="E492" s="2">
        <f t="shared" si="35"/>
        <v>5.5553347114008583E-2</v>
      </c>
      <c r="F492" s="13" t="s">
        <v>834</v>
      </c>
      <c r="G492" s="100" t="s">
        <v>73</v>
      </c>
      <c r="H492" s="20" t="s">
        <v>827</v>
      </c>
      <c r="I492" s="49" t="s">
        <v>831</v>
      </c>
      <c r="J492" s="128"/>
    </row>
    <row r="493" spans="1:10">
      <c r="A493" s="8" t="s">
        <v>783</v>
      </c>
      <c r="B493" s="19">
        <v>154880</v>
      </c>
      <c r="C493" s="19">
        <v>144040</v>
      </c>
      <c r="D493" s="17">
        <f t="shared" si="36"/>
        <v>10840</v>
      </c>
      <c r="E493" s="2">
        <f t="shared" si="35"/>
        <v>7.5256873090808113E-2</v>
      </c>
      <c r="F493" s="13" t="s">
        <v>835</v>
      </c>
      <c r="G493" s="100" t="s">
        <v>73</v>
      </c>
      <c r="H493" s="20" t="s">
        <v>827</v>
      </c>
      <c r="I493" s="49" t="s">
        <v>831</v>
      </c>
      <c r="J493" s="128"/>
    </row>
    <row r="494" spans="1:10">
      <c r="A494" s="8" t="s">
        <v>783</v>
      </c>
      <c r="B494" s="19">
        <v>339884</v>
      </c>
      <c r="C494" s="19">
        <v>321996</v>
      </c>
      <c r="D494" s="17">
        <f t="shared" si="36"/>
        <v>17888</v>
      </c>
      <c r="E494" s="2">
        <f t="shared" si="35"/>
        <v>5.5553485136461321E-2</v>
      </c>
      <c r="F494" s="13" t="s">
        <v>836</v>
      </c>
      <c r="G494" s="100" t="s">
        <v>73</v>
      </c>
      <c r="H494" s="20" t="s">
        <v>827</v>
      </c>
      <c r="I494" s="49" t="s">
        <v>831</v>
      </c>
      <c r="J494" s="128"/>
    </row>
    <row r="495" spans="1:10">
      <c r="A495" s="8" t="s">
        <v>457</v>
      </c>
      <c r="B495" s="19">
        <v>1930825</v>
      </c>
      <c r="C495" s="19">
        <v>1877191</v>
      </c>
      <c r="D495" s="17">
        <f t="shared" si="36"/>
        <v>53634</v>
      </c>
      <c r="E495" s="2">
        <f t="shared" si="35"/>
        <v>2.8571413351118773E-2</v>
      </c>
      <c r="F495" s="13" t="s">
        <v>837</v>
      </c>
      <c r="G495" s="100" t="s">
        <v>73</v>
      </c>
      <c r="H495" s="20" t="s">
        <v>827</v>
      </c>
      <c r="I495" s="49" t="s">
        <v>831</v>
      </c>
      <c r="J495" s="128"/>
    </row>
    <row r="496" spans="1:10">
      <c r="A496" s="8" t="s">
        <v>457</v>
      </c>
      <c r="B496" s="19">
        <v>321860</v>
      </c>
      <c r="C496" s="19">
        <v>304920</v>
      </c>
      <c r="D496" s="17">
        <f t="shared" si="36"/>
        <v>16940</v>
      </c>
      <c r="E496" s="2">
        <f t="shared" si="35"/>
        <v>5.5555555555555552E-2</v>
      </c>
      <c r="F496" s="13" t="s">
        <v>838</v>
      </c>
      <c r="G496" s="100" t="s">
        <v>73</v>
      </c>
      <c r="H496" s="20"/>
      <c r="I496" s="21"/>
      <c r="J496" s="128"/>
    </row>
    <row r="497" spans="1:10">
      <c r="A497" s="8" t="s">
        <v>839</v>
      </c>
      <c r="B497" s="19">
        <v>97440750</v>
      </c>
      <c r="C497" s="19">
        <v>92568712.5</v>
      </c>
      <c r="D497" s="17">
        <f t="shared" si="36"/>
        <v>4872037.5</v>
      </c>
      <c r="E497" s="2">
        <f t="shared" si="35"/>
        <v>5.2631578947368418E-2</v>
      </c>
      <c r="F497" s="13" t="s">
        <v>840</v>
      </c>
      <c r="G497" s="100" t="s">
        <v>73</v>
      </c>
      <c r="H497" s="20" t="s">
        <v>124</v>
      </c>
      <c r="I497" s="21"/>
      <c r="J497" s="128"/>
    </row>
    <row r="498" spans="1:10">
      <c r="A498" s="8" t="s">
        <v>841</v>
      </c>
      <c r="B498" s="19">
        <v>2370000</v>
      </c>
      <c r="C498" s="19">
        <v>2190000</v>
      </c>
      <c r="D498" s="17">
        <f t="shared" si="36"/>
        <v>180000</v>
      </c>
      <c r="E498" s="2">
        <f t="shared" si="35"/>
        <v>8.2191780821917804E-2</v>
      </c>
      <c r="F498" s="13" t="s">
        <v>842</v>
      </c>
      <c r="G498" s="100" t="s">
        <v>73</v>
      </c>
      <c r="H498" s="20" t="s">
        <v>488</v>
      </c>
      <c r="I498" s="21"/>
      <c r="J498" s="128"/>
    </row>
    <row r="499" spans="1:10">
      <c r="A499" s="8" t="s">
        <v>843</v>
      </c>
      <c r="B499" s="19">
        <v>6618000</v>
      </c>
      <c r="C499" s="19">
        <v>6498900</v>
      </c>
      <c r="D499" s="17">
        <f t="shared" si="36"/>
        <v>119100</v>
      </c>
      <c r="E499" s="2">
        <f t="shared" si="35"/>
        <v>1.8326178276323685E-2</v>
      </c>
      <c r="F499" s="13" t="s">
        <v>844</v>
      </c>
      <c r="G499" s="100" t="s">
        <v>73</v>
      </c>
      <c r="H499" s="20" t="s">
        <v>63</v>
      </c>
      <c r="I499" s="21"/>
      <c r="J499" s="128"/>
    </row>
    <row r="500" spans="1:10">
      <c r="A500" s="8" t="s">
        <v>845</v>
      </c>
      <c r="B500" s="19">
        <v>4524480</v>
      </c>
      <c r="C500" s="19">
        <v>4298256</v>
      </c>
      <c r="D500" s="17">
        <f t="shared" si="36"/>
        <v>226224</v>
      </c>
      <c r="E500" s="2">
        <f t="shared" si="35"/>
        <v>5.2631578947368418E-2</v>
      </c>
      <c r="F500" s="13" t="s">
        <v>846</v>
      </c>
      <c r="G500" s="100" t="s">
        <v>73</v>
      </c>
      <c r="H500" s="20" t="s">
        <v>30</v>
      </c>
      <c r="I500" s="21" t="s">
        <v>847</v>
      </c>
      <c r="J500" s="128"/>
    </row>
    <row r="501" spans="1:10">
      <c r="A501" s="8" t="s">
        <v>848</v>
      </c>
      <c r="B501" s="19">
        <v>41710000</v>
      </c>
      <c r="C501" s="19">
        <v>37539000</v>
      </c>
      <c r="D501" s="17">
        <f t="shared" si="36"/>
        <v>4171000</v>
      </c>
      <c r="E501" s="2">
        <f t="shared" si="35"/>
        <v>0.1111111111111111</v>
      </c>
      <c r="F501" s="13" t="s">
        <v>849</v>
      </c>
      <c r="G501" s="100" t="s">
        <v>73</v>
      </c>
      <c r="H501" s="20" t="s">
        <v>241</v>
      </c>
      <c r="I501" s="21"/>
      <c r="J501" s="128"/>
    </row>
    <row r="502" spans="1:10">
      <c r="A502" s="8" t="s">
        <v>850</v>
      </c>
      <c r="B502" s="19">
        <v>6690849</v>
      </c>
      <c r="C502" s="19">
        <v>6470849</v>
      </c>
      <c r="D502" s="17">
        <f t="shared" si="36"/>
        <v>220000</v>
      </c>
      <c r="E502" s="2">
        <f t="shared" si="35"/>
        <v>3.3998629855216837E-2</v>
      </c>
      <c r="F502" s="13" t="s">
        <v>406</v>
      </c>
      <c r="G502" s="100" t="s">
        <v>73</v>
      </c>
      <c r="H502" s="20" t="s">
        <v>352</v>
      </c>
      <c r="I502" s="21"/>
      <c r="J502" s="128"/>
    </row>
    <row r="503" spans="1:10">
      <c r="A503" s="8" t="s">
        <v>851</v>
      </c>
      <c r="B503" s="19">
        <v>650000</v>
      </c>
      <c r="C503" s="19">
        <v>575500</v>
      </c>
      <c r="D503" s="17">
        <f t="shared" si="36"/>
        <v>74500</v>
      </c>
      <c r="E503" s="2">
        <f t="shared" si="35"/>
        <v>0.12945264986967853</v>
      </c>
      <c r="F503" s="13" t="s">
        <v>852</v>
      </c>
      <c r="G503" s="100" t="s">
        <v>73</v>
      </c>
      <c r="H503" s="20"/>
      <c r="I503" s="21"/>
      <c r="J503" s="128"/>
    </row>
    <row r="504" spans="1:10">
      <c r="A504" s="8" t="s">
        <v>853</v>
      </c>
      <c r="B504" s="19">
        <v>2092400</v>
      </c>
      <c r="C504" s="19">
        <v>2031385</v>
      </c>
      <c r="D504" s="17">
        <f t="shared" si="36"/>
        <v>61015</v>
      </c>
      <c r="E504" s="2">
        <f t="shared" si="35"/>
        <v>3.0036157596910484E-2</v>
      </c>
      <c r="F504" s="13" t="s">
        <v>854</v>
      </c>
      <c r="G504" s="100" t="s">
        <v>73</v>
      </c>
      <c r="H504" s="20" t="s">
        <v>855</v>
      </c>
      <c r="I504" s="21" t="s">
        <v>828</v>
      </c>
      <c r="J504" s="128"/>
    </row>
    <row r="505" spans="1:10">
      <c r="A505" s="8" t="s">
        <v>856</v>
      </c>
      <c r="B505" s="19">
        <v>811000</v>
      </c>
      <c r="C505" s="19">
        <v>758000</v>
      </c>
      <c r="D505" s="17">
        <f t="shared" si="36"/>
        <v>53000</v>
      </c>
      <c r="E505" s="2">
        <f t="shared" si="35"/>
        <v>6.9920844327176782E-2</v>
      </c>
      <c r="F505" s="13" t="s">
        <v>857</v>
      </c>
      <c r="G505" s="100" t="s">
        <v>73</v>
      </c>
      <c r="H505" s="20" t="s">
        <v>855</v>
      </c>
      <c r="I505" s="21" t="s">
        <v>828</v>
      </c>
      <c r="J505" s="128"/>
    </row>
    <row r="506" spans="1:10">
      <c r="A506" s="8" t="s">
        <v>858</v>
      </c>
      <c r="B506" s="27">
        <v>6941200</v>
      </c>
      <c r="C506" s="19">
        <v>3382570.6</v>
      </c>
      <c r="D506" s="17">
        <f t="shared" si="36"/>
        <v>3558629.4</v>
      </c>
      <c r="E506" s="2">
        <f t="shared" si="35"/>
        <v>1.0520488175472227</v>
      </c>
      <c r="F506" s="21" t="s">
        <v>406</v>
      </c>
      <c r="G506" s="100" t="s">
        <v>73</v>
      </c>
      <c r="H506" s="21" t="s">
        <v>584</v>
      </c>
      <c r="I506" s="21" t="s">
        <v>859</v>
      </c>
      <c r="J506" s="128"/>
    </row>
    <row r="507" spans="1:10">
      <c r="A507" s="8" t="s">
        <v>457</v>
      </c>
      <c r="B507" s="19">
        <v>1458000</v>
      </c>
      <c r="C507" s="19">
        <v>1377000</v>
      </c>
      <c r="D507" s="17">
        <f t="shared" si="36"/>
        <v>81000</v>
      </c>
      <c r="E507" s="2">
        <f t="shared" si="35"/>
        <v>5.8823529411764705E-2</v>
      </c>
      <c r="F507" s="13" t="s">
        <v>860</v>
      </c>
      <c r="G507" s="100" t="s">
        <v>73</v>
      </c>
      <c r="H507" s="20" t="s">
        <v>855</v>
      </c>
      <c r="I507" s="21" t="s">
        <v>828</v>
      </c>
      <c r="J507" s="128"/>
    </row>
    <row r="508" spans="1:10">
      <c r="A508" s="8" t="s">
        <v>457</v>
      </c>
      <c r="B508" s="19">
        <v>714920</v>
      </c>
      <c r="C508" s="19">
        <v>693110</v>
      </c>
      <c r="D508" s="17">
        <f t="shared" si="36"/>
        <v>21810</v>
      </c>
      <c r="E508" s="2">
        <f t="shared" si="35"/>
        <v>3.1466866731110502E-2</v>
      </c>
      <c r="F508" s="13" t="s">
        <v>861</v>
      </c>
      <c r="G508" s="100" t="s">
        <v>73</v>
      </c>
      <c r="H508" s="20" t="s">
        <v>855</v>
      </c>
      <c r="I508" s="21" t="s">
        <v>828</v>
      </c>
      <c r="J508" s="128"/>
    </row>
    <row r="509" spans="1:10">
      <c r="A509" s="8" t="s">
        <v>457</v>
      </c>
      <c r="B509" s="19">
        <v>252890</v>
      </c>
      <c r="C509" s="19">
        <v>239580</v>
      </c>
      <c r="D509" s="17">
        <f t="shared" si="36"/>
        <v>13310</v>
      </c>
      <c r="E509" s="2">
        <f t="shared" si="35"/>
        <v>5.5555555555555552E-2</v>
      </c>
      <c r="F509" s="13" t="s">
        <v>862</v>
      </c>
      <c r="G509" s="100" t="s">
        <v>73</v>
      </c>
      <c r="H509" s="20" t="s">
        <v>855</v>
      </c>
      <c r="I509" s="21" t="s">
        <v>828</v>
      </c>
      <c r="J509" s="129"/>
    </row>
    <row r="510" spans="1:10">
      <c r="A510" s="131" t="s">
        <v>863</v>
      </c>
      <c r="B510" s="131"/>
      <c r="C510" s="131"/>
      <c r="D510" s="131"/>
      <c r="E510" s="131"/>
      <c r="F510" s="131"/>
      <c r="G510" s="132"/>
      <c r="H510" s="131"/>
      <c r="I510" s="131"/>
      <c r="J510" s="133"/>
    </row>
    <row r="511" spans="1:10">
      <c r="A511" s="8" t="s">
        <v>864</v>
      </c>
      <c r="B511" s="19">
        <v>12195787</v>
      </c>
      <c r="C511" s="19">
        <v>11585997.65</v>
      </c>
      <c r="D511" s="17">
        <f t="shared" si="36"/>
        <v>609789.34999999963</v>
      </c>
      <c r="E511" s="2">
        <f t="shared" si="35"/>
        <v>5.263157894736839E-2</v>
      </c>
      <c r="F511" s="13" t="s">
        <v>865</v>
      </c>
      <c r="G511" s="100" t="s">
        <v>222</v>
      </c>
      <c r="H511" s="20" t="s">
        <v>124</v>
      </c>
      <c r="I511" s="21"/>
      <c r="J511" s="127">
        <f>SUM(D511:D534)</f>
        <v>31569746.600000001</v>
      </c>
    </row>
    <row r="512" spans="1:10">
      <c r="A512" s="8" t="s">
        <v>457</v>
      </c>
      <c r="B512" s="19">
        <v>425122</v>
      </c>
      <c r="C512" s="19">
        <v>401697</v>
      </c>
      <c r="D512" s="17">
        <f t="shared" si="36"/>
        <v>23425</v>
      </c>
      <c r="E512" s="2">
        <f t="shared" si="35"/>
        <v>5.8315098195903879E-2</v>
      </c>
      <c r="F512" s="13" t="s">
        <v>866</v>
      </c>
      <c r="G512" s="100" t="s">
        <v>222</v>
      </c>
      <c r="H512" s="20"/>
      <c r="I512" s="21"/>
      <c r="J512" s="128"/>
    </row>
    <row r="513" spans="1:10">
      <c r="A513" s="8" t="s">
        <v>776</v>
      </c>
      <c r="B513" s="19">
        <v>14748398.720000001</v>
      </c>
      <c r="C513" s="19">
        <v>13273558.85</v>
      </c>
      <c r="D513" s="17">
        <f t="shared" si="36"/>
        <v>1474839.870000001</v>
      </c>
      <c r="E513" s="2">
        <f t="shared" si="35"/>
        <v>0.11111111094369398</v>
      </c>
      <c r="F513" s="13" t="s">
        <v>867</v>
      </c>
      <c r="G513" s="100" t="s">
        <v>222</v>
      </c>
      <c r="H513" s="20" t="s">
        <v>868</v>
      </c>
      <c r="I513" s="21" t="s">
        <v>869</v>
      </c>
      <c r="J513" s="128"/>
    </row>
    <row r="514" spans="1:10">
      <c r="A514" s="8" t="s">
        <v>783</v>
      </c>
      <c r="B514" s="19">
        <v>217800</v>
      </c>
      <c r="C514" s="19">
        <v>205700</v>
      </c>
      <c r="D514" s="17">
        <f t="shared" si="36"/>
        <v>12100</v>
      </c>
      <c r="E514" s="2">
        <f t="shared" si="35"/>
        <v>5.8823529411764705E-2</v>
      </c>
      <c r="F514" s="13" t="s">
        <v>230</v>
      </c>
      <c r="G514" s="100" t="s">
        <v>222</v>
      </c>
      <c r="H514" s="20"/>
      <c r="I514" s="21"/>
      <c r="J514" s="128"/>
    </row>
    <row r="515" spans="1:10">
      <c r="A515" s="8" t="s">
        <v>870</v>
      </c>
      <c r="B515" s="19">
        <v>2870000</v>
      </c>
      <c r="C515" s="19">
        <v>2609000</v>
      </c>
      <c r="D515" s="17">
        <f t="shared" si="36"/>
        <v>261000</v>
      </c>
      <c r="E515" s="2">
        <f t="shared" si="35"/>
        <v>0.1000383288616328</v>
      </c>
      <c r="F515" s="13" t="s">
        <v>871</v>
      </c>
      <c r="G515" s="100" t="s">
        <v>222</v>
      </c>
      <c r="H515" s="20" t="s">
        <v>827</v>
      </c>
      <c r="I515" s="21" t="s">
        <v>828</v>
      </c>
      <c r="J515" s="128"/>
    </row>
    <row r="516" spans="1:10">
      <c r="A516" s="8" t="s">
        <v>872</v>
      </c>
      <c r="B516" s="19">
        <v>856041.12</v>
      </c>
      <c r="C516" s="19">
        <v>787600</v>
      </c>
      <c r="D516" s="17">
        <f>B516-C516</f>
        <v>68441.119999999995</v>
      </c>
      <c r="E516" s="2">
        <f>(B516-C516)/C516</f>
        <v>8.689832402234636E-2</v>
      </c>
      <c r="F516" s="13" t="s">
        <v>873</v>
      </c>
      <c r="G516" s="100" t="s">
        <v>222</v>
      </c>
      <c r="H516" s="20" t="s">
        <v>868</v>
      </c>
      <c r="I516" s="21" t="s">
        <v>828</v>
      </c>
      <c r="J516" s="128"/>
    </row>
    <row r="517" spans="1:10">
      <c r="A517" s="8" t="s">
        <v>872</v>
      </c>
      <c r="B517" s="19">
        <v>830863.44</v>
      </c>
      <c r="C517" s="19">
        <v>764500</v>
      </c>
      <c r="D517" s="17">
        <f>B517-C517</f>
        <v>66363.439999999944</v>
      </c>
      <c r="E517" s="2">
        <f>(B517-C517)/C517</f>
        <v>8.6806330935251724E-2</v>
      </c>
      <c r="F517" s="13" t="s">
        <v>874</v>
      </c>
      <c r="G517" s="100" t="s">
        <v>222</v>
      </c>
      <c r="H517" s="20" t="s">
        <v>827</v>
      </c>
      <c r="I517" s="21" t="s">
        <v>828</v>
      </c>
      <c r="J517" s="128"/>
    </row>
    <row r="518" spans="1:10">
      <c r="A518" s="8" t="s">
        <v>875</v>
      </c>
      <c r="B518" s="19">
        <v>320863</v>
      </c>
      <c r="C518" s="19">
        <v>303702</v>
      </c>
      <c r="D518" s="17">
        <f>B518-C518</f>
        <v>17161</v>
      </c>
      <c r="E518" s="2">
        <f>(B518-C518)/C518</f>
        <v>5.6506048692468273E-2</v>
      </c>
      <c r="F518" s="13" t="s">
        <v>876</v>
      </c>
      <c r="G518" s="100" t="s">
        <v>222</v>
      </c>
      <c r="H518" s="20" t="s">
        <v>868</v>
      </c>
      <c r="I518" s="21" t="s">
        <v>828</v>
      </c>
      <c r="J518" s="128"/>
    </row>
    <row r="519" spans="1:10">
      <c r="A519" s="8" t="s">
        <v>877</v>
      </c>
      <c r="B519" s="19">
        <v>277000</v>
      </c>
      <c r="C519" s="19">
        <v>250000</v>
      </c>
      <c r="D519" s="17">
        <f>B519-C519</f>
        <v>27000</v>
      </c>
      <c r="E519" s="2">
        <f>(B519-C519)/C519</f>
        <v>0.108</v>
      </c>
      <c r="F519" s="13" t="s">
        <v>878</v>
      </c>
      <c r="G519" s="100" t="s">
        <v>222</v>
      </c>
      <c r="H519" s="20" t="s">
        <v>827</v>
      </c>
      <c r="I519" s="21" t="s">
        <v>828</v>
      </c>
      <c r="J519" s="128"/>
    </row>
    <row r="520" spans="1:10">
      <c r="A520" s="8" t="s">
        <v>877</v>
      </c>
      <c r="B520" s="19">
        <v>532400</v>
      </c>
      <c r="C520" s="19">
        <v>498000</v>
      </c>
      <c r="D520" s="17">
        <f>B520-C520</f>
        <v>34400</v>
      </c>
      <c r="E520" s="2">
        <f>(B520-C520)/C520</f>
        <v>6.9076305220883538E-2</v>
      </c>
      <c r="F520" s="13" t="s">
        <v>879</v>
      </c>
      <c r="G520" s="100" t="s">
        <v>222</v>
      </c>
      <c r="H520" s="20" t="s">
        <v>868</v>
      </c>
      <c r="I520" s="21" t="s">
        <v>828</v>
      </c>
      <c r="J520" s="128"/>
    </row>
    <row r="521" spans="1:10">
      <c r="A521" s="8" t="s">
        <v>880</v>
      </c>
      <c r="B521" s="19">
        <v>17917560</v>
      </c>
      <c r="C521" s="19">
        <v>12303615</v>
      </c>
      <c r="D521" s="17">
        <f>B521-C521</f>
        <v>5613945</v>
      </c>
      <c r="E521" s="2">
        <f>(B521-C521)/C521</f>
        <v>0.45628418964670142</v>
      </c>
      <c r="F521" s="13" t="s">
        <v>881</v>
      </c>
      <c r="G521" s="100" t="s">
        <v>222</v>
      </c>
      <c r="H521" s="20" t="s">
        <v>827</v>
      </c>
      <c r="I521" s="21" t="s">
        <v>882</v>
      </c>
      <c r="J521" s="128"/>
    </row>
    <row r="522" spans="1:10">
      <c r="A522" s="8" t="s">
        <v>34</v>
      </c>
      <c r="B522" s="19">
        <v>3859460</v>
      </c>
      <c r="C522" s="19">
        <v>3702460</v>
      </c>
      <c r="D522" s="17">
        <f t="shared" ref="D522:D585" si="37">B522-C522</f>
        <v>157000</v>
      </c>
      <c r="E522" s="2">
        <f t="shared" ref="E522:E583" si="38">(B522-C522)/C522</f>
        <v>4.240423934357157E-2</v>
      </c>
      <c r="F522" s="13" t="s">
        <v>883</v>
      </c>
      <c r="G522" s="100" t="s">
        <v>222</v>
      </c>
      <c r="H522" s="20" t="s">
        <v>30</v>
      </c>
      <c r="I522" s="21" t="s">
        <v>884</v>
      </c>
      <c r="J522" s="128"/>
    </row>
    <row r="523" spans="1:10">
      <c r="A523" s="8" t="s">
        <v>34</v>
      </c>
      <c r="B523" s="19">
        <v>6930000</v>
      </c>
      <c r="C523" s="19">
        <v>6499600</v>
      </c>
      <c r="D523" s="17">
        <f t="shared" si="37"/>
        <v>430400</v>
      </c>
      <c r="E523" s="2">
        <f t="shared" si="38"/>
        <v>6.6219459659055943E-2</v>
      </c>
      <c r="F523" s="13" t="s">
        <v>885</v>
      </c>
      <c r="G523" s="100" t="s">
        <v>222</v>
      </c>
      <c r="H523" s="20" t="s">
        <v>234</v>
      </c>
      <c r="I523" s="21" t="s">
        <v>886</v>
      </c>
      <c r="J523" s="128"/>
    </row>
    <row r="524" spans="1:10">
      <c r="A524" s="8" t="s">
        <v>887</v>
      </c>
      <c r="B524" s="19">
        <v>1834922.87</v>
      </c>
      <c r="C524" s="19">
        <v>1809672.87</v>
      </c>
      <c r="D524" s="17">
        <f t="shared" si="37"/>
        <v>25250</v>
      </c>
      <c r="E524" s="2">
        <f t="shared" si="38"/>
        <v>1.3952797999342278E-2</v>
      </c>
      <c r="F524" s="13" t="s">
        <v>888</v>
      </c>
      <c r="G524" s="100" t="s">
        <v>222</v>
      </c>
      <c r="H524" s="20" t="s">
        <v>30</v>
      </c>
      <c r="I524" s="21" t="s">
        <v>889</v>
      </c>
      <c r="J524" s="128"/>
    </row>
    <row r="525" spans="1:10">
      <c r="A525" s="8" t="s">
        <v>776</v>
      </c>
      <c r="B525" s="19">
        <v>13962400</v>
      </c>
      <c r="C525" s="19">
        <v>11868040.18</v>
      </c>
      <c r="D525" s="17">
        <f t="shared" si="37"/>
        <v>2094359.8200000003</v>
      </c>
      <c r="E525" s="2">
        <f t="shared" si="38"/>
        <v>0.17647057039201905</v>
      </c>
      <c r="F525" s="13" t="s">
        <v>890</v>
      </c>
      <c r="G525" s="100" t="s">
        <v>222</v>
      </c>
      <c r="H525" s="20" t="s">
        <v>779</v>
      </c>
      <c r="I525" s="21"/>
      <c r="J525" s="128"/>
    </row>
    <row r="526" spans="1:10">
      <c r="A526" s="8" t="s">
        <v>405</v>
      </c>
      <c r="B526" s="19">
        <v>210000</v>
      </c>
      <c r="C526" s="19">
        <v>170000</v>
      </c>
      <c r="D526" s="17">
        <f t="shared" si="37"/>
        <v>40000</v>
      </c>
      <c r="E526" s="2">
        <f t="shared" si="38"/>
        <v>0.23529411764705882</v>
      </c>
      <c r="F526" s="13" t="s">
        <v>891</v>
      </c>
      <c r="G526" s="100" t="s">
        <v>222</v>
      </c>
      <c r="H526" s="20" t="s">
        <v>38</v>
      </c>
      <c r="I526" s="21"/>
      <c r="J526" s="128"/>
    </row>
    <row r="527" spans="1:10">
      <c r="A527" s="8" t="s">
        <v>507</v>
      </c>
      <c r="B527" s="19">
        <v>625458</v>
      </c>
      <c r="C527" s="19">
        <v>585000</v>
      </c>
      <c r="D527" s="17">
        <f t="shared" si="37"/>
        <v>40458</v>
      </c>
      <c r="E527" s="2">
        <f t="shared" si="38"/>
        <v>6.9158974358974362E-2</v>
      </c>
      <c r="F527" s="13" t="s">
        <v>892</v>
      </c>
      <c r="G527" s="100" t="s">
        <v>222</v>
      </c>
      <c r="H527" s="20" t="s">
        <v>110</v>
      </c>
      <c r="I527" s="21"/>
      <c r="J527" s="128"/>
    </row>
    <row r="528" spans="1:10">
      <c r="A528" s="8" t="s">
        <v>65</v>
      </c>
      <c r="B528" s="19">
        <v>5100000</v>
      </c>
      <c r="C528" s="19">
        <v>3900000</v>
      </c>
      <c r="D528" s="17">
        <f t="shared" si="37"/>
        <v>1200000</v>
      </c>
      <c r="E528" s="2">
        <f t="shared" si="38"/>
        <v>0.30769230769230771</v>
      </c>
      <c r="F528" s="13" t="s">
        <v>893</v>
      </c>
      <c r="G528" s="100" t="s">
        <v>222</v>
      </c>
      <c r="H528" s="20" t="s">
        <v>30</v>
      </c>
      <c r="I528" s="21" t="s">
        <v>310</v>
      </c>
      <c r="J528" s="128"/>
    </row>
    <row r="529" spans="1:10">
      <c r="A529" s="8" t="s">
        <v>894</v>
      </c>
      <c r="B529" s="19">
        <v>2844800</v>
      </c>
      <c r="C529" s="19">
        <v>2124900</v>
      </c>
      <c r="D529" s="17">
        <f t="shared" si="37"/>
        <v>719900</v>
      </c>
      <c r="E529" s="2">
        <f t="shared" si="38"/>
        <v>0.33879241376064756</v>
      </c>
      <c r="F529" s="13" t="s">
        <v>895</v>
      </c>
      <c r="G529" s="100" t="s">
        <v>222</v>
      </c>
      <c r="H529" s="20" t="s">
        <v>63</v>
      </c>
      <c r="I529" s="21" t="s">
        <v>896</v>
      </c>
      <c r="J529" s="128"/>
    </row>
    <row r="530" spans="1:10">
      <c r="A530" s="8" t="s">
        <v>894</v>
      </c>
      <c r="B530" s="19">
        <v>4754400</v>
      </c>
      <c r="C530" s="19">
        <v>3070400</v>
      </c>
      <c r="D530" s="17">
        <f t="shared" si="37"/>
        <v>1684000</v>
      </c>
      <c r="E530" s="2">
        <f t="shared" si="38"/>
        <v>0.54846274101094317</v>
      </c>
      <c r="F530" s="13" t="s">
        <v>897</v>
      </c>
      <c r="G530" s="100" t="s">
        <v>222</v>
      </c>
      <c r="H530" s="20" t="s">
        <v>63</v>
      </c>
      <c r="I530" s="21" t="s">
        <v>898</v>
      </c>
      <c r="J530" s="128"/>
    </row>
    <row r="531" spans="1:10">
      <c r="A531" s="8" t="s">
        <v>599</v>
      </c>
      <c r="B531" s="19">
        <v>1500000</v>
      </c>
      <c r="C531" s="19">
        <v>600000</v>
      </c>
      <c r="D531" s="17">
        <f t="shared" si="37"/>
        <v>900000</v>
      </c>
      <c r="E531" s="2">
        <f t="shared" si="38"/>
        <v>1.5</v>
      </c>
      <c r="F531" s="13" t="s">
        <v>899</v>
      </c>
      <c r="G531" s="100" t="s">
        <v>222</v>
      </c>
      <c r="H531" s="20" t="s">
        <v>110</v>
      </c>
      <c r="I531" s="21" t="s">
        <v>723</v>
      </c>
      <c r="J531" s="128"/>
    </row>
    <row r="532" spans="1:10">
      <c r="A532" s="8" t="s">
        <v>900</v>
      </c>
      <c r="B532" s="19">
        <v>8141311</v>
      </c>
      <c r="C532" s="19">
        <v>5448654</v>
      </c>
      <c r="D532" s="17">
        <f t="shared" si="37"/>
        <v>2692657</v>
      </c>
      <c r="E532" s="2">
        <f t="shared" si="38"/>
        <v>0.49418755531182562</v>
      </c>
      <c r="F532" s="13" t="s">
        <v>901</v>
      </c>
      <c r="G532" s="100" t="s">
        <v>222</v>
      </c>
      <c r="H532" s="20" t="s">
        <v>855</v>
      </c>
      <c r="I532" s="21" t="s">
        <v>902</v>
      </c>
      <c r="J532" s="128"/>
    </row>
    <row r="533" spans="1:10">
      <c r="A533" s="9" t="s">
        <v>903</v>
      </c>
      <c r="B533" s="22">
        <v>50811500</v>
      </c>
      <c r="C533" s="22">
        <v>41710728</v>
      </c>
      <c r="D533" s="17">
        <f t="shared" si="37"/>
        <v>9100772</v>
      </c>
      <c r="E533" s="2">
        <f t="shared" si="38"/>
        <v>0.21818780051021885</v>
      </c>
      <c r="F533" s="14" t="s">
        <v>904</v>
      </c>
      <c r="G533" s="100" t="s">
        <v>222</v>
      </c>
      <c r="H533" s="20" t="s">
        <v>855</v>
      </c>
      <c r="I533" s="49" t="s">
        <v>905</v>
      </c>
      <c r="J533" s="128"/>
    </row>
    <row r="534" spans="1:10">
      <c r="A534" s="9" t="s">
        <v>906</v>
      </c>
      <c r="B534" s="22">
        <v>56258555</v>
      </c>
      <c r="C534" s="22">
        <v>51982070</v>
      </c>
      <c r="D534" s="35">
        <f t="shared" si="37"/>
        <v>4276485</v>
      </c>
      <c r="E534" s="3">
        <f t="shared" si="38"/>
        <v>8.2268462952706581E-2</v>
      </c>
      <c r="F534" s="14" t="s">
        <v>907</v>
      </c>
      <c r="G534" s="100" t="s">
        <v>222</v>
      </c>
      <c r="H534" s="23" t="s">
        <v>855</v>
      </c>
      <c r="I534" s="49"/>
      <c r="J534" s="129"/>
    </row>
    <row r="535" spans="1:10">
      <c r="A535" s="146" t="s">
        <v>290</v>
      </c>
      <c r="B535" s="147"/>
      <c r="C535" s="147"/>
      <c r="D535" s="147"/>
      <c r="E535" s="147"/>
      <c r="F535" s="147"/>
      <c r="G535" s="161"/>
      <c r="H535" s="147"/>
      <c r="I535" s="147"/>
      <c r="J535" s="162"/>
    </row>
    <row r="536" spans="1:10">
      <c r="A536" s="7" t="s">
        <v>783</v>
      </c>
      <c r="B536" s="17">
        <v>387000</v>
      </c>
      <c r="C536" s="17">
        <v>365500</v>
      </c>
      <c r="D536" s="17">
        <f t="shared" si="37"/>
        <v>21500</v>
      </c>
      <c r="E536" s="1">
        <f t="shared" si="38"/>
        <v>5.8823529411764705E-2</v>
      </c>
      <c r="F536" s="12" t="s">
        <v>908</v>
      </c>
      <c r="G536" s="101" t="s">
        <v>290</v>
      </c>
      <c r="H536" s="18" t="s">
        <v>855</v>
      </c>
      <c r="I536" s="50" t="s">
        <v>828</v>
      </c>
      <c r="J536" s="127">
        <f>SUM(D536:D601)</f>
        <v>43089271.659999996</v>
      </c>
    </row>
    <row r="537" spans="1:10">
      <c r="A537" s="8" t="s">
        <v>783</v>
      </c>
      <c r="B537" s="19">
        <v>2797411</v>
      </c>
      <c r="C537" s="19">
        <v>2706316</v>
      </c>
      <c r="D537" s="17">
        <f t="shared" si="37"/>
        <v>91095</v>
      </c>
      <c r="E537" s="2">
        <f t="shared" si="38"/>
        <v>3.3660149073500657E-2</v>
      </c>
      <c r="F537" s="13" t="s">
        <v>909</v>
      </c>
      <c r="G537" s="101" t="s">
        <v>290</v>
      </c>
      <c r="H537" s="20" t="s">
        <v>855</v>
      </c>
      <c r="I537" s="21" t="s">
        <v>828</v>
      </c>
      <c r="J537" s="128"/>
    </row>
    <row r="538" spans="1:10">
      <c r="A538" s="8" t="s">
        <v>457</v>
      </c>
      <c r="B538" s="19">
        <v>408408</v>
      </c>
      <c r="C538" s="19">
        <v>386710</v>
      </c>
      <c r="D538" s="17">
        <f t="shared" si="37"/>
        <v>21698</v>
      </c>
      <c r="E538" s="2">
        <f t="shared" si="38"/>
        <v>5.6109229138113829E-2</v>
      </c>
      <c r="F538" s="13" t="s">
        <v>910</v>
      </c>
      <c r="G538" s="101" t="s">
        <v>290</v>
      </c>
      <c r="H538" s="20" t="s">
        <v>855</v>
      </c>
      <c r="I538" s="21" t="s">
        <v>828</v>
      </c>
      <c r="J538" s="128"/>
    </row>
    <row r="539" spans="1:10">
      <c r="A539" s="8" t="s">
        <v>224</v>
      </c>
      <c r="B539" s="19">
        <v>13930000</v>
      </c>
      <c r="C539" s="19">
        <v>12535000</v>
      </c>
      <c r="D539" s="17">
        <f t="shared" si="37"/>
        <v>1395000</v>
      </c>
      <c r="E539" s="2">
        <f t="shared" si="38"/>
        <v>0.1112883925009972</v>
      </c>
      <c r="F539" s="13" t="s">
        <v>911</v>
      </c>
      <c r="G539" s="101" t="s">
        <v>290</v>
      </c>
      <c r="H539" s="20" t="s">
        <v>30</v>
      </c>
      <c r="I539" s="21" t="s">
        <v>320</v>
      </c>
      <c r="J539" s="128"/>
    </row>
    <row r="540" spans="1:10">
      <c r="A540" s="8" t="s">
        <v>105</v>
      </c>
      <c r="B540" s="19">
        <v>250000</v>
      </c>
      <c r="C540" s="19">
        <v>200000</v>
      </c>
      <c r="D540" s="17">
        <f t="shared" si="37"/>
        <v>50000</v>
      </c>
      <c r="E540" s="2">
        <f t="shared" si="38"/>
        <v>0.25</v>
      </c>
      <c r="F540" s="13" t="s">
        <v>912</v>
      </c>
      <c r="G540" s="101" t="s">
        <v>290</v>
      </c>
      <c r="H540" s="20" t="s">
        <v>30</v>
      </c>
      <c r="I540" s="21" t="s">
        <v>320</v>
      </c>
      <c r="J540" s="128"/>
    </row>
    <row r="541" spans="1:10">
      <c r="A541" s="8" t="s">
        <v>405</v>
      </c>
      <c r="B541" s="19">
        <v>1322000</v>
      </c>
      <c r="C541" s="19">
        <v>865000</v>
      </c>
      <c r="D541" s="17">
        <f t="shared" si="37"/>
        <v>457000</v>
      </c>
      <c r="E541" s="2">
        <f t="shared" si="38"/>
        <v>0.52832369942196533</v>
      </c>
      <c r="F541" s="13" t="s">
        <v>913</v>
      </c>
      <c r="G541" s="101" t="s">
        <v>290</v>
      </c>
      <c r="H541" s="20" t="s">
        <v>30</v>
      </c>
      <c r="I541" s="21" t="s">
        <v>320</v>
      </c>
      <c r="J541" s="128"/>
    </row>
    <row r="542" spans="1:10">
      <c r="A542" s="8" t="s">
        <v>783</v>
      </c>
      <c r="B542" s="19">
        <v>354046</v>
      </c>
      <c r="C542" s="19">
        <v>335412</v>
      </c>
      <c r="D542" s="17">
        <f t="shared" si="37"/>
        <v>18634</v>
      </c>
      <c r="E542" s="2">
        <f t="shared" si="38"/>
        <v>5.5555555555555552E-2</v>
      </c>
      <c r="F542" s="2" t="s">
        <v>914</v>
      </c>
      <c r="G542" s="101" t="s">
        <v>290</v>
      </c>
      <c r="H542" s="20" t="s">
        <v>915</v>
      </c>
      <c r="I542" s="21"/>
      <c r="J542" s="128"/>
    </row>
    <row r="543" spans="1:10">
      <c r="A543" s="8" t="s">
        <v>783</v>
      </c>
      <c r="B543" s="19">
        <v>1049579</v>
      </c>
      <c r="C543" s="19">
        <v>994334</v>
      </c>
      <c r="D543" s="17">
        <f t="shared" si="37"/>
        <v>55245</v>
      </c>
      <c r="E543" s="2">
        <f t="shared" si="38"/>
        <v>5.5559801837209627E-2</v>
      </c>
      <c r="F543" s="13" t="s">
        <v>916</v>
      </c>
      <c r="G543" s="101" t="s">
        <v>290</v>
      </c>
      <c r="H543" s="20" t="s">
        <v>855</v>
      </c>
      <c r="I543" s="21"/>
      <c r="J543" s="128"/>
    </row>
    <row r="544" spans="1:10">
      <c r="A544" s="8" t="s">
        <v>783</v>
      </c>
      <c r="B544" s="19">
        <v>3038686</v>
      </c>
      <c r="C544" s="19">
        <v>2882213</v>
      </c>
      <c r="D544" s="17">
        <f t="shared" si="37"/>
        <v>156473</v>
      </c>
      <c r="E544" s="2">
        <f t="shared" si="38"/>
        <v>5.4289186815825202E-2</v>
      </c>
      <c r="F544" s="13" t="s">
        <v>917</v>
      </c>
      <c r="G544" s="101" t="s">
        <v>290</v>
      </c>
      <c r="H544" s="20" t="s">
        <v>352</v>
      </c>
      <c r="I544" s="21"/>
      <c r="J544" s="128"/>
    </row>
    <row r="545" spans="1:10">
      <c r="A545" s="8" t="s">
        <v>783</v>
      </c>
      <c r="B545" s="19">
        <v>1615736</v>
      </c>
      <c r="C545" s="19">
        <v>1530700</v>
      </c>
      <c r="D545" s="17">
        <f t="shared" si="37"/>
        <v>85036</v>
      </c>
      <c r="E545" s="2">
        <f t="shared" si="38"/>
        <v>5.55536682563533E-2</v>
      </c>
      <c r="F545" s="13" t="s">
        <v>918</v>
      </c>
      <c r="G545" s="101" t="s">
        <v>290</v>
      </c>
      <c r="H545" s="20" t="s">
        <v>352</v>
      </c>
      <c r="I545" s="21"/>
      <c r="J545" s="128"/>
    </row>
    <row r="546" spans="1:10">
      <c r="A546" s="8" t="s">
        <v>919</v>
      </c>
      <c r="B546" s="19">
        <v>1841649</v>
      </c>
      <c r="C546" s="19">
        <v>1742748</v>
      </c>
      <c r="D546" s="17">
        <f t="shared" si="37"/>
        <v>98901</v>
      </c>
      <c r="E546" s="2">
        <f t="shared" si="38"/>
        <v>5.6750029264127685E-2</v>
      </c>
      <c r="F546" s="13" t="s">
        <v>920</v>
      </c>
      <c r="G546" s="101" t="s">
        <v>290</v>
      </c>
      <c r="H546" s="20" t="s">
        <v>30</v>
      </c>
      <c r="I546" s="21" t="s">
        <v>921</v>
      </c>
      <c r="J546" s="128"/>
    </row>
    <row r="547" spans="1:10">
      <c r="A547" s="8" t="s">
        <v>922</v>
      </c>
      <c r="B547" s="19">
        <v>13060000</v>
      </c>
      <c r="C547" s="19">
        <v>12198100</v>
      </c>
      <c r="D547" s="17">
        <f t="shared" si="37"/>
        <v>861900</v>
      </c>
      <c r="E547" s="2">
        <f t="shared" si="38"/>
        <v>7.0658545183266253E-2</v>
      </c>
      <c r="F547" s="13" t="s">
        <v>923</v>
      </c>
      <c r="G547" s="101" t="s">
        <v>290</v>
      </c>
      <c r="H547" s="20" t="s">
        <v>440</v>
      </c>
      <c r="I547" s="21" t="s">
        <v>828</v>
      </c>
      <c r="J547" s="128"/>
    </row>
    <row r="548" spans="1:10">
      <c r="A548" s="8" t="s">
        <v>485</v>
      </c>
      <c r="B548" s="19">
        <v>8965200</v>
      </c>
      <c r="C548" s="19">
        <v>8750000</v>
      </c>
      <c r="D548" s="17">
        <f t="shared" si="37"/>
        <v>215200</v>
      </c>
      <c r="E548" s="2">
        <f t="shared" si="38"/>
        <v>2.4594285714285714E-2</v>
      </c>
      <c r="F548" s="13" t="s">
        <v>924</v>
      </c>
      <c r="G548" s="101" t="s">
        <v>290</v>
      </c>
      <c r="H548" s="20" t="s">
        <v>440</v>
      </c>
      <c r="I548" s="21" t="s">
        <v>828</v>
      </c>
      <c r="J548" s="128"/>
    </row>
    <row r="549" spans="1:10">
      <c r="A549" s="8" t="s">
        <v>485</v>
      </c>
      <c r="B549" s="19">
        <v>1915000</v>
      </c>
      <c r="C549" s="19">
        <v>1723500</v>
      </c>
      <c r="D549" s="17">
        <f t="shared" si="37"/>
        <v>191500</v>
      </c>
      <c r="E549" s="2">
        <f t="shared" si="38"/>
        <v>0.1111111111111111</v>
      </c>
      <c r="F549" s="13" t="s">
        <v>925</v>
      </c>
      <c r="G549" s="101" t="s">
        <v>290</v>
      </c>
      <c r="H549" s="20" t="s">
        <v>440</v>
      </c>
      <c r="I549" s="21" t="s">
        <v>831</v>
      </c>
      <c r="J549" s="128"/>
    </row>
    <row r="550" spans="1:10">
      <c r="A550" s="8" t="s">
        <v>926</v>
      </c>
      <c r="B550" s="19">
        <v>5322130</v>
      </c>
      <c r="C550" s="19">
        <v>5030460</v>
      </c>
      <c r="D550" s="17">
        <f t="shared" si="37"/>
        <v>291670</v>
      </c>
      <c r="E550" s="2">
        <f t="shared" si="38"/>
        <v>5.7980781081650584E-2</v>
      </c>
      <c r="F550" s="13" t="s">
        <v>927</v>
      </c>
      <c r="G550" s="101" t="s">
        <v>290</v>
      </c>
      <c r="H550" s="20" t="s">
        <v>440</v>
      </c>
      <c r="I550" s="21" t="s">
        <v>928</v>
      </c>
      <c r="J550" s="128"/>
    </row>
    <row r="551" spans="1:10">
      <c r="A551" s="8" t="s">
        <v>485</v>
      </c>
      <c r="B551" s="19">
        <v>1380000</v>
      </c>
      <c r="C551" s="19">
        <v>1250000</v>
      </c>
      <c r="D551" s="17">
        <f t="shared" si="37"/>
        <v>130000</v>
      </c>
      <c r="E551" s="2">
        <f t="shared" si="38"/>
        <v>0.104</v>
      </c>
      <c r="F551" s="13" t="s">
        <v>929</v>
      </c>
      <c r="G551" s="101" t="s">
        <v>290</v>
      </c>
      <c r="H551" s="20" t="s">
        <v>440</v>
      </c>
      <c r="I551" s="21" t="s">
        <v>831</v>
      </c>
      <c r="J551" s="128"/>
    </row>
    <row r="552" spans="1:10">
      <c r="A552" s="8" t="s">
        <v>485</v>
      </c>
      <c r="B552" s="19">
        <v>1360000</v>
      </c>
      <c r="C552" s="19">
        <v>1230000</v>
      </c>
      <c r="D552" s="17">
        <f t="shared" si="37"/>
        <v>130000</v>
      </c>
      <c r="E552" s="2">
        <f t="shared" si="38"/>
        <v>0.10569105691056911</v>
      </c>
      <c r="F552" s="13" t="s">
        <v>930</v>
      </c>
      <c r="G552" s="101" t="s">
        <v>290</v>
      </c>
      <c r="H552" s="20" t="s">
        <v>440</v>
      </c>
      <c r="I552" s="21" t="s">
        <v>831</v>
      </c>
      <c r="J552" s="128"/>
    </row>
    <row r="553" spans="1:10">
      <c r="A553" s="8" t="s">
        <v>485</v>
      </c>
      <c r="B553" s="19">
        <v>1563000</v>
      </c>
      <c r="C553" s="19">
        <v>1460500</v>
      </c>
      <c r="D553" s="17">
        <f t="shared" si="37"/>
        <v>102500</v>
      </c>
      <c r="E553" s="2">
        <f t="shared" si="38"/>
        <v>7.018144471071551E-2</v>
      </c>
      <c r="F553" s="13" t="s">
        <v>931</v>
      </c>
      <c r="G553" s="101" t="s">
        <v>290</v>
      </c>
      <c r="H553" s="20" t="s">
        <v>440</v>
      </c>
      <c r="I553" s="21" t="s">
        <v>831</v>
      </c>
      <c r="J553" s="128"/>
    </row>
    <row r="554" spans="1:10">
      <c r="A554" s="8" t="s">
        <v>457</v>
      </c>
      <c r="B554" s="19">
        <v>1715856</v>
      </c>
      <c r="C554" s="19">
        <v>1664591</v>
      </c>
      <c r="D554" s="17">
        <f t="shared" si="37"/>
        <v>51265</v>
      </c>
      <c r="E554" s="2">
        <f t="shared" si="38"/>
        <v>3.0797355025949318E-2</v>
      </c>
      <c r="F554" s="13" t="s">
        <v>932</v>
      </c>
      <c r="G554" s="101" t="s">
        <v>290</v>
      </c>
      <c r="H554" s="20" t="s">
        <v>440</v>
      </c>
      <c r="I554" s="21" t="s">
        <v>933</v>
      </c>
      <c r="J554" s="128"/>
    </row>
    <row r="555" spans="1:10">
      <c r="A555" s="8" t="s">
        <v>174</v>
      </c>
      <c r="B555" s="19">
        <v>2000340</v>
      </c>
      <c r="C555" s="19">
        <v>1900580</v>
      </c>
      <c r="D555" s="17">
        <f t="shared" si="37"/>
        <v>99760</v>
      </c>
      <c r="E555" s="2">
        <f t="shared" si="38"/>
        <v>5.2489240126698165E-2</v>
      </c>
      <c r="F555" s="13" t="s">
        <v>934</v>
      </c>
      <c r="G555" s="101" t="s">
        <v>290</v>
      </c>
      <c r="H555" s="20" t="s">
        <v>935</v>
      </c>
      <c r="I555" s="21"/>
      <c r="J555" s="128"/>
    </row>
    <row r="556" spans="1:10">
      <c r="A556" s="8" t="s">
        <v>485</v>
      </c>
      <c r="B556" s="19">
        <v>1270000</v>
      </c>
      <c r="C556" s="19">
        <v>1150000</v>
      </c>
      <c r="D556" s="17">
        <f t="shared" si="37"/>
        <v>120000</v>
      </c>
      <c r="E556" s="2">
        <f t="shared" si="38"/>
        <v>0.10434782608695652</v>
      </c>
      <c r="F556" s="13" t="s">
        <v>936</v>
      </c>
      <c r="G556" s="101" t="s">
        <v>290</v>
      </c>
      <c r="H556" s="20" t="s">
        <v>937</v>
      </c>
      <c r="I556" s="21" t="s">
        <v>831</v>
      </c>
      <c r="J556" s="128"/>
    </row>
    <row r="557" spans="1:10">
      <c r="A557" s="8" t="s">
        <v>438</v>
      </c>
      <c r="B557" s="19">
        <v>192500</v>
      </c>
      <c r="C557" s="19">
        <v>182875</v>
      </c>
      <c r="D557" s="17">
        <f t="shared" si="37"/>
        <v>9625</v>
      </c>
      <c r="E557" s="2">
        <f t="shared" si="38"/>
        <v>5.2631578947368418E-2</v>
      </c>
      <c r="F557" s="13" t="s">
        <v>938</v>
      </c>
      <c r="G557" s="101" t="s">
        <v>290</v>
      </c>
      <c r="H557" s="20" t="s">
        <v>937</v>
      </c>
      <c r="I557" s="21" t="s">
        <v>828</v>
      </c>
      <c r="J557" s="128"/>
    </row>
    <row r="558" spans="1:10">
      <c r="A558" s="8" t="s">
        <v>65</v>
      </c>
      <c r="B558" s="19">
        <v>25200000</v>
      </c>
      <c r="C558" s="19">
        <v>15000000</v>
      </c>
      <c r="D558" s="17">
        <f t="shared" si="37"/>
        <v>10200000</v>
      </c>
      <c r="E558" s="2">
        <f t="shared" si="38"/>
        <v>0.68</v>
      </c>
      <c r="F558" s="13" t="s">
        <v>939</v>
      </c>
      <c r="G558" s="101" t="s">
        <v>290</v>
      </c>
      <c r="H558" s="20" t="s">
        <v>937</v>
      </c>
      <c r="I558" s="21" t="s">
        <v>559</v>
      </c>
      <c r="J558" s="128"/>
    </row>
    <row r="559" spans="1:10">
      <c r="A559" s="8" t="s">
        <v>22</v>
      </c>
      <c r="B559" s="19">
        <v>4627600</v>
      </c>
      <c r="C559" s="19">
        <v>3118800</v>
      </c>
      <c r="D559" s="17">
        <f t="shared" si="37"/>
        <v>1508800</v>
      </c>
      <c r="E559" s="2">
        <f t="shared" si="38"/>
        <v>0.48377581120943952</v>
      </c>
      <c r="F559" s="13" t="s">
        <v>940</v>
      </c>
      <c r="G559" s="101" t="s">
        <v>290</v>
      </c>
      <c r="H559" s="20" t="s">
        <v>937</v>
      </c>
      <c r="I559" s="21"/>
      <c r="J559" s="128"/>
    </row>
    <row r="560" spans="1:10">
      <c r="A560" s="8" t="s">
        <v>507</v>
      </c>
      <c r="B560" s="19">
        <v>7018650</v>
      </c>
      <c r="C560" s="19">
        <v>6294735</v>
      </c>
      <c r="D560" s="17">
        <f t="shared" si="37"/>
        <v>723915</v>
      </c>
      <c r="E560" s="2">
        <f t="shared" si="38"/>
        <v>0.11500325271834319</v>
      </c>
      <c r="F560" s="13" t="s">
        <v>941</v>
      </c>
      <c r="G560" s="101" t="s">
        <v>290</v>
      </c>
      <c r="H560" s="20" t="s">
        <v>584</v>
      </c>
      <c r="I560" s="21" t="s">
        <v>942</v>
      </c>
      <c r="J560" s="128"/>
    </row>
    <row r="561" spans="1:11">
      <c r="A561" s="8" t="s">
        <v>776</v>
      </c>
      <c r="B561" s="19">
        <v>17373356.039999999</v>
      </c>
      <c r="C561" s="19">
        <v>13865173.380000001</v>
      </c>
      <c r="D561" s="17">
        <f t="shared" si="37"/>
        <v>3508182.6599999983</v>
      </c>
      <c r="E561" s="2">
        <f t="shared" si="38"/>
        <v>0.25302118941119206</v>
      </c>
      <c r="F561" s="13" t="s">
        <v>943</v>
      </c>
      <c r="G561" s="101" t="s">
        <v>290</v>
      </c>
      <c r="H561" s="20" t="s">
        <v>234</v>
      </c>
      <c r="I561" s="21" t="s">
        <v>412</v>
      </c>
      <c r="J561" s="128"/>
    </row>
    <row r="562" spans="1:11">
      <c r="A562" s="8" t="s">
        <v>944</v>
      </c>
      <c r="B562" s="19">
        <v>6318000</v>
      </c>
      <c r="C562" s="19">
        <v>5340600</v>
      </c>
      <c r="D562" s="17">
        <f t="shared" si="37"/>
        <v>977400</v>
      </c>
      <c r="E562" s="2">
        <f t="shared" si="38"/>
        <v>0.18301314459049545</v>
      </c>
      <c r="F562" s="13" t="s">
        <v>945</v>
      </c>
      <c r="G562" s="101" t="s">
        <v>290</v>
      </c>
      <c r="H562" s="20" t="s">
        <v>946</v>
      </c>
      <c r="I562" s="21"/>
      <c r="J562" s="128"/>
    </row>
    <row r="563" spans="1:11">
      <c r="A563" s="8" t="s">
        <v>112</v>
      </c>
      <c r="B563" s="19">
        <v>761400</v>
      </c>
      <c r="C563" s="19">
        <v>723060</v>
      </c>
      <c r="D563" s="17">
        <f t="shared" si="37"/>
        <v>38340</v>
      </c>
      <c r="E563" s="2">
        <f t="shared" si="38"/>
        <v>5.3024645257654969E-2</v>
      </c>
      <c r="F563" s="13" t="s">
        <v>947</v>
      </c>
      <c r="G563" s="101" t="s">
        <v>290</v>
      </c>
      <c r="H563" s="20" t="s">
        <v>30</v>
      </c>
      <c r="I563" s="21" t="s">
        <v>948</v>
      </c>
      <c r="J563" s="128"/>
    </row>
    <row r="564" spans="1:11">
      <c r="A564" s="8" t="s">
        <v>112</v>
      </c>
      <c r="B564" s="19">
        <v>466055</v>
      </c>
      <c r="C564" s="19">
        <v>442670</v>
      </c>
      <c r="D564" s="17">
        <f t="shared" si="37"/>
        <v>23385</v>
      </c>
      <c r="E564" s="2">
        <f t="shared" si="38"/>
        <v>5.2827162446065917E-2</v>
      </c>
      <c r="F564" s="13" t="s">
        <v>947</v>
      </c>
      <c r="G564" s="101" t="s">
        <v>290</v>
      </c>
      <c r="H564" s="20" t="s">
        <v>30</v>
      </c>
      <c r="I564" s="21" t="s">
        <v>948</v>
      </c>
      <c r="J564" s="128"/>
    </row>
    <row r="565" spans="1:11">
      <c r="A565" s="8" t="s">
        <v>184</v>
      </c>
      <c r="B565" s="19">
        <v>4530160</v>
      </c>
      <c r="C565" s="19">
        <v>4394250</v>
      </c>
      <c r="D565" s="17">
        <f t="shared" si="37"/>
        <v>135910</v>
      </c>
      <c r="E565" s="2">
        <f t="shared" si="38"/>
        <v>3.092905501507652E-2</v>
      </c>
      <c r="F565" s="13" t="s">
        <v>711</v>
      </c>
      <c r="G565" s="101" t="s">
        <v>290</v>
      </c>
      <c r="H565" s="20" t="s">
        <v>946</v>
      </c>
      <c r="I565" s="21" t="s">
        <v>317</v>
      </c>
      <c r="J565" s="128"/>
      <c r="K565" s="25"/>
    </row>
    <row r="566" spans="1:11">
      <c r="A566" s="8" t="s">
        <v>184</v>
      </c>
      <c r="B566" s="19">
        <v>363550</v>
      </c>
      <c r="C566" s="19">
        <v>351640</v>
      </c>
      <c r="D566" s="17">
        <f t="shared" si="37"/>
        <v>11910</v>
      </c>
      <c r="E566" s="2">
        <f t="shared" si="38"/>
        <v>3.3869866909339096E-2</v>
      </c>
      <c r="F566" s="13" t="s">
        <v>949</v>
      </c>
      <c r="G566" s="101" t="s">
        <v>290</v>
      </c>
      <c r="H566" s="20" t="s">
        <v>946</v>
      </c>
      <c r="I566" s="21" t="s">
        <v>317</v>
      </c>
      <c r="J566" s="128"/>
    </row>
    <row r="567" spans="1:11">
      <c r="A567" s="8" t="s">
        <v>213</v>
      </c>
      <c r="B567" s="19">
        <v>1748000</v>
      </c>
      <c r="C567" s="19">
        <v>1680000</v>
      </c>
      <c r="D567" s="17">
        <f t="shared" si="37"/>
        <v>68000</v>
      </c>
      <c r="E567" s="2">
        <f t="shared" si="38"/>
        <v>4.0476190476190478E-2</v>
      </c>
      <c r="F567" s="13" t="s">
        <v>695</v>
      </c>
      <c r="G567" s="101" t="s">
        <v>290</v>
      </c>
      <c r="H567" s="20" t="s">
        <v>946</v>
      </c>
      <c r="I567" s="21" t="s">
        <v>317</v>
      </c>
      <c r="J567" s="128"/>
    </row>
    <row r="568" spans="1:11">
      <c r="A568" s="8" t="s">
        <v>213</v>
      </c>
      <c r="B568" s="19">
        <v>1496000</v>
      </c>
      <c r="C568" s="19">
        <v>1420000</v>
      </c>
      <c r="D568" s="17">
        <f t="shared" si="37"/>
        <v>76000</v>
      </c>
      <c r="E568" s="2">
        <f t="shared" si="38"/>
        <v>5.3521126760563378E-2</v>
      </c>
      <c r="F568" s="13" t="s">
        <v>669</v>
      </c>
      <c r="G568" s="101" t="s">
        <v>290</v>
      </c>
      <c r="H568" s="20" t="s">
        <v>946</v>
      </c>
      <c r="I568" s="21" t="s">
        <v>317</v>
      </c>
      <c r="J568" s="128"/>
    </row>
    <row r="569" spans="1:11">
      <c r="A569" s="8" t="s">
        <v>213</v>
      </c>
      <c r="B569" s="19">
        <v>3333300</v>
      </c>
      <c r="C569" s="19">
        <v>3155000</v>
      </c>
      <c r="D569" s="17">
        <f t="shared" si="37"/>
        <v>178300</v>
      </c>
      <c r="E569" s="2">
        <f t="shared" si="38"/>
        <v>5.6513470681458004E-2</v>
      </c>
      <c r="F569" s="13" t="s">
        <v>604</v>
      </c>
      <c r="G569" s="101" t="s">
        <v>290</v>
      </c>
      <c r="H569" s="20" t="s">
        <v>946</v>
      </c>
      <c r="I569" s="21" t="s">
        <v>317</v>
      </c>
      <c r="J569" s="128"/>
    </row>
    <row r="570" spans="1:11">
      <c r="A570" s="8" t="s">
        <v>213</v>
      </c>
      <c r="B570" s="19">
        <v>930000</v>
      </c>
      <c r="C570" s="19">
        <v>880000</v>
      </c>
      <c r="D570" s="17">
        <f t="shared" si="37"/>
        <v>50000</v>
      </c>
      <c r="E570" s="2">
        <f t="shared" si="38"/>
        <v>5.6818181818181816E-2</v>
      </c>
      <c r="F570" s="13" t="s">
        <v>950</v>
      </c>
      <c r="G570" s="101" t="s">
        <v>290</v>
      </c>
      <c r="H570" s="20" t="s">
        <v>946</v>
      </c>
      <c r="I570" s="21" t="s">
        <v>317</v>
      </c>
      <c r="J570" s="128"/>
    </row>
    <row r="571" spans="1:11">
      <c r="A571" s="8" t="s">
        <v>213</v>
      </c>
      <c r="B571" s="19">
        <v>2650300</v>
      </c>
      <c r="C571" s="19">
        <v>2510000</v>
      </c>
      <c r="D571" s="17">
        <f t="shared" si="37"/>
        <v>140300</v>
      </c>
      <c r="E571" s="2">
        <f t="shared" si="38"/>
        <v>5.5896414342629479E-2</v>
      </c>
      <c r="F571" s="13" t="s">
        <v>951</v>
      </c>
      <c r="G571" s="101" t="s">
        <v>290</v>
      </c>
      <c r="H571" s="20" t="s">
        <v>946</v>
      </c>
      <c r="I571" s="21" t="s">
        <v>317</v>
      </c>
      <c r="J571" s="128"/>
    </row>
    <row r="572" spans="1:11">
      <c r="A572" s="8" t="s">
        <v>213</v>
      </c>
      <c r="B572" s="19">
        <v>2650300</v>
      </c>
      <c r="C572" s="19">
        <v>2520000</v>
      </c>
      <c r="D572" s="17">
        <f t="shared" si="37"/>
        <v>130300</v>
      </c>
      <c r="E572" s="2">
        <f t="shared" si="38"/>
        <v>5.1706349206349207E-2</v>
      </c>
      <c r="F572" s="13" t="s">
        <v>952</v>
      </c>
      <c r="G572" s="101" t="s">
        <v>290</v>
      </c>
      <c r="H572" s="20" t="s">
        <v>946</v>
      </c>
      <c r="I572" s="21" t="s">
        <v>317</v>
      </c>
      <c r="J572" s="128"/>
    </row>
    <row r="573" spans="1:11">
      <c r="A573" s="8" t="s">
        <v>213</v>
      </c>
      <c r="B573" s="19">
        <v>1830000</v>
      </c>
      <c r="C573" s="19">
        <v>1750000</v>
      </c>
      <c r="D573" s="17">
        <f t="shared" si="37"/>
        <v>80000</v>
      </c>
      <c r="E573" s="2">
        <f t="shared" si="38"/>
        <v>4.5714285714285714E-2</v>
      </c>
      <c r="F573" s="13" t="s">
        <v>953</v>
      </c>
      <c r="G573" s="101" t="s">
        <v>290</v>
      </c>
      <c r="H573" s="20" t="s">
        <v>946</v>
      </c>
      <c r="I573" s="21" t="s">
        <v>317</v>
      </c>
      <c r="J573" s="128"/>
    </row>
    <row r="574" spans="1:11">
      <c r="A574" s="8" t="s">
        <v>457</v>
      </c>
      <c r="B574" s="19">
        <v>618431</v>
      </c>
      <c r="C574" s="19">
        <v>585882</v>
      </c>
      <c r="D574" s="17">
        <f t="shared" si="37"/>
        <v>32549</v>
      </c>
      <c r="E574" s="2">
        <f t="shared" si="38"/>
        <v>5.5555555555555552E-2</v>
      </c>
      <c r="F574" s="13" t="s">
        <v>954</v>
      </c>
      <c r="G574" s="101" t="s">
        <v>290</v>
      </c>
      <c r="H574" s="20" t="s">
        <v>946</v>
      </c>
      <c r="I574" s="21" t="s">
        <v>317</v>
      </c>
      <c r="J574" s="128"/>
    </row>
    <row r="575" spans="1:11">
      <c r="A575" s="8" t="s">
        <v>457</v>
      </c>
      <c r="B575" s="19">
        <v>225302</v>
      </c>
      <c r="C575" s="19">
        <v>213444</v>
      </c>
      <c r="D575" s="17">
        <f t="shared" si="37"/>
        <v>11858</v>
      </c>
      <c r="E575" s="2">
        <f t="shared" si="38"/>
        <v>5.5555555555555552E-2</v>
      </c>
      <c r="F575" s="13" t="s">
        <v>955</v>
      </c>
      <c r="G575" s="101" t="s">
        <v>290</v>
      </c>
      <c r="H575" s="20" t="s">
        <v>946</v>
      </c>
      <c r="I575" s="21" t="s">
        <v>317</v>
      </c>
      <c r="J575" s="128"/>
    </row>
    <row r="576" spans="1:11">
      <c r="A576" s="8" t="s">
        <v>457</v>
      </c>
      <c r="B576" s="19">
        <v>248292</v>
      </c>
      <c r="C576" s="19">
        <v>235224</v>
      </c>
      <c r="D576" s="17">
        <f t="shared" si="37"/>
        <v>13068</v>
      </c>
      <c r="E576" s="2">
        <f t="shared" si="38"/>
        <v>5.5555555555555552E-2</v>
      </c>
      <c r="F576" s="13" t="s">
        <v>956</v>
      </c>
      <c r="G576" s="101" t="s">
        <v>290</v>
      </c>
      <c r="H576" s="20" t="s">
        <v>946</v>
      </c>
      <c r="I576" s="21" t="s">
        <v>317</v>
      </c>
      <c r="J576" s="128"/>
    </row>
    <row r="577" spans="1:10">
      <c r="A577" s="8" t="s">
        <v>783</v>
      </c>
      <c r="B577" s="19">
        <v>517285</v>
      </c>
      <c r="C577" s="19">
        <v>480345</v>
      </c>
      <c r="D577" s="17">
        <f t="shared" si="37"/>
        <v>36940</v>
      </c>
      <c r="E577" s="2">
        <f t="shared" si="38"/>
        <v>7.6903059259490578E-2</v>
      </c>
      <c r="F577" s="13" t="s">
        <v>957</v>
      </c>
      <c r="G577" s="101" t="s">
        <v>290</v>
      </c>
      <c r="H577" s="20" t="s">
        <v>63</v>
      </c>
      <c r="I577" s="21"/>
      <c r="J577" s="128"/>
    </row>
    <row r="578" spans="1:10">
      <c r="A578" s="8" t="s">
        <v>783</v>
      </c>
      <c r="B578" s="19">
        <v>471295</v>
      </c>
      <c r="C578" s="19">
        <v>446490</v>
      </c>
      <c r="D578" s="17">
        <f t="shared" si="37"/>
        <v>24805</v>
      </c>
      <c r="E578" s="2">
        <f t="shared" si="38"/>
        <v>5.5555555555555552E-2</v>
      </c>
      <c r="F578" s="13" t="s">
        <v>958</v>
      </c>
      <c r="G578" s="101" t="s">
        <v>290</v>
      </c>
      <c r="H578" s="20" t="s">
        <v>63</v>
      </c>
      <c r="I578" s="21"/>
      <c r="J578" s="128"/>
    </row>
    <row r="579" spans="1:10">
      <c r="A579" s="8" t="s">
        <v>959</v>
      </c>
      <c r="B579" s="19">
        <v>48508640</v>
      </c>
      <c r="C579" s="19">
        <v>46730222</v>
      </c>
      <c r="D579" s="17">
        <f t="shared" si="37"/>
        <v>1778418</v>
      </c>
      <c r="E579" s="2">
        <f t="shared" si="38"/>
        <v>3.8057127141403267E-2</v>
      </c>
      <c r="F579" s="13" t="s">
        <v>960</v>
      </c>
      <c r="G579" s="101" t="s">
        <v>290</v>
      </c>
      <c r="H579" s="20" t="s">
        <v>63</v>
      </c>
      <c r="I579" s="21" t="s">
        <v>107</v>
      </c>
      <c r="J579" s="128"/>
    </row>
    <row r="580" spans="1:10">
      <c r="A580" s="8" t="s">
        <v>771</v>
      </c>
      <c r="B580" s="19">
        <v>1276800</v>
      </c>
      <c r="C580" s="19">
        <v>1200000</v>
      </c>
      <c r="D580" s="17">
        <f t="shared" si="37"/>
        <v>76800</v>
      </c>
      <c r="E580" s="2">
        <f t="shared" si="38"/>
        <v>6.4000000000000001E-2</v>
      </c>
      <c r="F580" s="13" t="s">
        <v>961</v>
      </c>
      <c r="G580" s="101" t="s">
        <v>290</v>
      </c>
      <c r="H580" s="20" t="s">
        <v>962</v>
      </c>
      <c r="I580" s="21" t="s">
        <v>828</v>
      </c>
      <c r="J580" s="128"/>
    </row>
    <row r="581" spans="1:10">
      <c r="A581" s="8" t="s">
        <v>963</v>
      </c>
      <c r="B581" s="19">
        <v>23990400</v>
      </c>
      <c r="C581" s="19">
        <v>22740000</v>
      </c>
      <c r="D581" s="17">
        <f t="shared" si="37"/>
        <v>1250400</v>
      </c>
      <c r="E581" s="2">
        <f t="shared" si="38"/>
        <v>5.4986807387862796E-2</v>
      </c>
      <c r="F581" s="13" t="s">
        <v>964</v>
      </c>
      <c r="G581" s="101" t="s">
        <v>290</v>
      </c>
      <c r="H581" s="20" t="s">
        <v>779</v>
      </c>
      <c r="I581" s="21"/>
      <c r="J581" s="128"/>
    </row>
    <row r="582" spans="1:10">
      <c r="A582" s="8" t="s">
        <v>965</v>
      </c>
      <c r="B582" s="19">
        <v>13970000</v>
      </c>
      <c r="C582" s="19">
        <v>3800000</v>
      </c>
      <c r="D582" s="17">
        <f t="shared" si="37"/>
        <v>10170000</v>
      </c>
      <c r="E582" s="2">
        <f t="shared" si="38"/>
        <v>2.6763157894736844</v>
      </c>
      <c r="F582" s="13" t="s">
        <v>966</v>
      </c>
      <c r="G582" s="101" t="s">
        <v>290</v>
      </c>
      <c r="H582" s="20" t="s">
        <v>440</v>
      </c>
      <c r="I582" s="21" t="s">
        <v>967</v>
      </c>
      <c r="J582" s="128"/>
    </row>
    <row r="583" spans="1:10">
      <c r="A583" s="8" t="s">
        <v>457</v>
      </c>
      <c r="B583" s="19">
        <v>705090</v>
      </c>
      <c r="C583" s="19">
        <v>667980</v>
      </c>
      <c r="D583" s="17">
        <f t="shared" si="37"/>
        <v>37110</v>
      </c>
      <c r="E583" s="2">
        <f t="shared" si="38"/>
        <v>5.5555555555555552E-2</v>
      </c>
      <c r="F583" s="13" t="s">
        <v>968</v>
      </c>
      <c r="G583" s="101" t="s">
        <v>290</v>
      </c>
      <c r="H583" s="20" t="s">
        <v>440</v>
      </c>
      <c r="I583" s="21" t="s">
        <v>969</v>
      </c>
      <c r="J583" s="128"/>
    </row>
    <row r="584" spans="1:10">
      <c r="A584" s="8" t="s">
        <v>457</v>
      </c>
      <c r="B584" s="19">
        <v>1471360</v>
      </c>
      <c r="C584" s="19">
        <v>1393920</v>
      </c>
      <c r="D584" s="17">
        <f t="shared" si="37"/>
        <v>77440</v>
      </c>
      <c r="E584" s="2">
        <f t="shared" ref="E584:E652" si="39">(B584-C584)/C584</f>
        <v>5.5555555555555552E-2</v>
      </c>
      <c r="F584" s="13" t="s">
        <v>970</v>
      </c>
      <c r="G584" s="101" t="s">
        <v>290</v>
      </c>
      <c r="H584" s="20" t="s">
        <v>440</v>
      </c>
      <c r="I584" s="21" t="s">
        <v>969</v>
      </c>
      <c r="J584" s="128"/>
    </row>
    <row r="585" spans="1:10">
      <c r="A585" s="8" t="s">
        <v>457</v>
      </c>
      <c r="B585" s="19">
        <v>2816878</v>
      </c>
      <c r="C585" s="19">
        <v>2665996</v>
      </c>
      <c r="D585" s="17">
        <f t="shared" si="37"/>
        <v>150882</v>
      </c>
      <c r="E585" s="2">
        <f t="shared" si="39"/>
        <v>5.6594983638385055E-2</v>
      </c>
      <c r="F585" s="13" t="s">
        <v>971</v>
      </c>
      <c r="G585" s="101" t="s">
        <v>290</v>
      </c>
      <c r="H585" s="20" t="s">
        <v>440</v>
      </c>
      <c r="I585" s="21" t="s">
        <v>969</v>
      </c>
      <c r="J585" s="128"/>
    </row>
    <row r="586" spans="1:10">
      <c r="A586" s="8" t="s">
        <v>457</v>
      </c>
      <c r="B586" s="19">
        <v>101845</v>
      </c>
      <c r="C586" s="19">
        <v>96486</v>
      </c>
      <c r="D586" s="17">
        <f t="shared" ref="D586:D654" si="40">B586-C586</f>
        <v>5359</v>
      </c>
      <c r="E586" s="2">
        <f t="shared" si="39"/>
        <v>5.5541736625002593E-2</v>
      </c>
      <c r="F586" s="13" t="s">
        <v>972</v>
      </c>
      <c r="G586" s="101" t="s">
        <v>290</v>
      </c>
      <c r="H586" s="20" t="s">
        <v>440</v>
      </c>
      <c r="I586" s="21" t="s">
        <v>969</v>
      </c>
      <c r="J586" s="128"/>
    </row>
    <row r="587" spans="1:10">
      <c r="A587" s="8" t="s">
        <v>457</v>
      </c>
      <c r="B587" s="19">
        <v>4831515</v>
      </c>
      <c r="C587" s="19">
        <v>4563097</v>
      </c>
      <c r="D587" s="17">
        <f t="shared" si="40"/>
        <v>268418</v>
      </c>
      <c r="E587" s="2">
        <f t="shared" si="39"/>
        <v>5.8823645432038808E-2</v>
      </c>
      <c r="F587" s="13" t="s">
        <v>973</v>
      </c>
      <c r="G587" s="101" t="s">
        <v>290</v>
      </c>
      <c r="H587" s="20" t="s">
        <v>440</v>
      </c>
      <c r="I587" s="21" t="s">
        <v>969</v>
      </c>
      <c r="J587" s="128"/>
    </row>
    <row r="588" spans="1:10">
      <c r="A588" s="8" t="s">
        <v>395</v>
      </c>
      <c r="B588" s="19">
        <v>6526100</v>
      </c>
      <c r="C588" s="19">
        <v>6349500</v>
      </c>
      <c r="D588" s="17">
        <f t="shared" si="40"/>
        <v>176600</v>
      </c>
      <c r="E588" s="2">
        <f t="shared" si="39"/>
        <v>2.7813213638869204E-2</v>
      </c>
      <c r="F588" s="13" t="s">
        <v>974</v>
      </c>
      <c r="G588" s="101" t="s">
        <v>290</v>
      </c>
      <c r="H588" s="20" t="s">
        <v>720</v>
      </c>
      <c r="I588" s="21" t="s">
        <v>975</v>
      </c>
      <c r="J588" s="128"/>
    </row>
    <row r="589" spans="1:10">
      <c r="A589" s="8" t="s">
        <v>395</v>
      </c>
      <c r="B589" s="19">
        <v>6526100</v>
      </c>
      <c r="C589" s="19">
        <v>6349500</v>
      </c>
      <c r="D589" s="17">
        <f t="shared" ref="D589:D590" si="41">B589-C589</f>
        <v>176600</v>
      </c>
      <c r="E589" s="2">
        <f t="shared" ref="E589:E590" si="42">(B589-C589)/C589</f>
        <v>2.7813213638869204E-2</v>
      </c>
      <c r="F589" s="13" t="s">
        <v>974</v>
      </c>
      <c r="G589" s="101" t="s">
        <v>290</v>
      </c>
      <c r="H589" s="20"/>
      <c r="I589" s="21" t="s">
        <v>976</v>
      </c>
      <c r="J589" s="128"/>
    </row>
    <row r="590" spans="1:10">
      <c r="A590" s="8" t="s">
        <v>977</v>
      </c>
      <c r="B590" s="19">
        <v>1495000</v>
      </c>
      <c r="C590" s="19">
        <v>1405300</v>
      </c>
      <c r="D590" s="17">
        <f t="shared" si="41"/>
        <v>89700</v>
      </c>
      <c r="E590" s="2">
        <f t="shared" si="42"/>
        <v>6.3829787234042548E-2</v>
      </c>
      <c r="F590" s="13" t="s">
        <v>978</v>
      </c>
      <c r="G590" s="101" t="s">
        <v>290</v>
      </c>
      <c r="H590" s="20" t="s">
        <v>440</v>
      </c>
      <c r="I590" s="21" t="s">
        <v>969</v>
      </c>
      <c r="J590" s="128"/>
    </row>
    <row r="591" spans="1:10">
      <c r="A591" s="8" t="s">
        <v>977</v>
      </c>
      <c r="B591" s="19">
        <v>2265000</v>
      </c>
      <c r="C591" s="19">
        <v>2129100</v>
      </c>
      <c r="D591" s="17">
        <f t="shared" si="40"/>
        <v>135900</v>
      </c>
      <c r="E591" s="2">
        <f t="shared" si="39"/>
        <v>6.3829787234042548E-2</v>
      </c>
      <c r="F591" s="13" t="s">
        <v>979</v>
      </c>
      <c r="G591" s="101" t="s">
        <v>290</v>
      </c>
      <c r="H591" s="20" t="s">
        <v>440</v>
      </c>
      <c r="I591" s="21" t="s">
        <v>969</v>
      </c>
      <c r="J591" s="128"/>
    </row>
    <row r="592" spans="1:10">
      <c r="A592" s="8" t="s">
        <v>977</v>
      </c>
      <c r="B592" s="19">
        <v>925700</v>
      </c>
      <c r="C592" s="19">
        <v>870160</v>
      </c>
      <c r="D592" s="17">
        <f t="shared" si="40"/>
        <v>55540</v>
      </c>
      <c r="E592" s="2">
        <f t="shared" si="39"/>
        <v>6.3827342098004961E-2</v>
      </c>
      <c r="F592" s="13" t="s">
        <v>980</v>
      </c>
      <c r="G592" s="101" t="s">
        <v>290</v>
      </c>
      <c r="H592" s="20" t="s">
        <v>440</v>
      </c>
      <c r="I592" s="21" t="s">
        <v>969</v>
      </c>
      <c r="J592" s="128"/>
    </row>
    <row r="593" spans="1:10">
      <c r="A593" s="8" t="s">
        <v>977</v>
      </c>
      <c r="B593" s="19">
        <v>2154750</v>
      </c>
      <c r="C593" s="19">
        <v>2025440</v>
      </c>
      <c r="D593" s="17">
        <f t="shared" si="40"/>
        <v>129310</v>
      </c>
      <c r="E593" s="2">
        <f t="shared" si="39"/>
        <v>6.3842918081997005E-2</v>
      </c>
      <c r="F593" s="13" t="s">
        <v>981</v>
      </c>
      <c r="G593" s="101" t="s">
        <v>290</v>
      </c>
      <c r="H593" s="20" t="s">
        <v>440</v>
      </c>
      <c r="I593" s="21" t="s">
        <v>969</v>
      </c>
      <c r="J593" s="128"/>
    </row>
    <row r="594" spans="1:10">
      <c r="A594" s="8" t="s">
        <v>977</v>
      </c>
      <c r="B594" s="19">
        <v>2195700</v>
      </c>
      <c r="C594" s="19">
        <v>2076230</v>
      </c>
      <c r="D594" s="17">
        <f t="shared" si="40"/>
        <v>119470</v>
      </c>
      <c r="E594" s="2">
        <f t="shared" si="39"/>
        <v>5.7541794502535847E-2</v>
      </c>
      <c r="F594" s="13" t="s">
        <v>982</v>
      </c>
      <c r="G594" s="101" t="s">
        <v>290</v>
      </c>
      <c r="H594" s="20" t="s">
        <v>440</v>
      </c>
      <c r="I594" s="21" t="s">
        <v>969</v>
      </c>
      <c r="J594" s="128"/>
    </row>
    <row r="595" spans="1:10">
      <c r="A595" s="8" t="s">
        <v>977</v>
      </c>
      <c r="B595" s="19">
        <v>2185000</v>
      </c>
      <c r="C595" s="19">
        <v>2053900</v>
      </c>
      <c r="D595" s="17">
        <f t="shared" si="40"/>
        <v>131100</v>
      </c>
      <c r="E595" s="2">
        <f t="shared" si="39"/>
        <v>6.3829787234042548E-2</v>
      </c>
      <c r="F595" s="13" t="s">
        <v>983</v>
      </c>
      <c r="G595" s="101" t="s">
        <v>290</v>
      </c>
      <c r="H595" s="20" t="s">
        <v>440</v>
      </c>
      <c r="I595" s="21" t="s">
        <v>969</v>
      </c>
      <c r="J595" s="128"/>
    </row>
    <row r="596" spans="1:10">
      <c r="A596" s="8" t="s">
        <v>984</v>
      </c>
      <c r="B596" s="19">
        <v>6450000</v>
      </c>
      <c r="C596" s="19">
        <v>6250000</v>
      </c>
      <c r="D596" s="17">
        <f t="shared" si="40"/>
        <v>200000</v>
      </c>
      <c r="E596" s="2">
        <f t="shared" si="39"/>
        <v>3.2000000000000001E-2</v>
      </c>
      <c r="F596" s="13" t="s">
        <v>985</v>
      </c>
      <c r="G596" s="101" t="s">
        <v>290</v>
      </c>
      <c r="H596" s="20" t="s">
        <v>440</v>
      </c>
      <c r="I596" s="21" t="s">
        <v>986</v>
      </c>
      <c r="J596" s="128"/>
    </row>
    <row r="597" spans="1:10">
      <c r="A597" s="8" t="s">
        <v>984</v>
      </c>
      <c r="B597" s="19">
        <v>6509095</v>
      </c>
      <c r="C597" s="19">
        <v>6409095</v>
      </c>
      <c r="D597" s="17">
        <f t="shared" si="40"/>
        <v>100000</v>
      </c>
      <c r="E597" s="2">
        <f t="shared" si="39"/>
        <v>1.5602826920181398E-2</v>
      </c>
      <c r="F597" s="13" t="s">
        <v>987</v>
      </c>
      <c r="G597" s="101" t="s">
        <v>290</v>
      </c>
      <c r="H597" s="20" t="s">
        <v>440</v>
      </c>
      <c r="I597" s="21" t="s">
        <v>986</v>
      </c>
      <c r="J597" s="128"/>
    </row>
    <row r="598" spans="1:10">
      <c r="A598" s="8" t="s">
        <v>977</v>
      </c>
      <c r="B598" s="19">
        <v>1685000</v>
      </c>
      <c r="C598" s="19">
        <v>1583900</v>
      </c>
      <c r="D598" s="17">
        <f t="shared" si="40"/>
        <v>101100</v>
      </c>
      <c r="E598" s="2">
        <f t="shared" si="39"/>
        <v>6.3829787234042548E-2</v>
      </c>
      <c r="F598" s="13" t="s">
        <v>988</v>
      </c>
      <c r="G598" s="101" t="s">
        <v>290</v>
      </c>
      <c r="H598" s="20" t="s">
        <v>440</v>
      </c>
      <c r="I598" s="21" t="s">
        <v>969</v>
      </c>
      <c r="J598" s="128"/>
    </row>
    <row r="599" spans="1:10">
      <c r="A599" s="8" t="s">
        <v>989</v>
      </c>
      <c r="B599" s="19">
        <v>6180000</v>
      </c>
      <c r="C599" s="19">
        <v>3090000</v>
      </c>
      <c r="D599" s="17">
        <f t="shared" si="40"/>
        <v>3090000</v>
      </c>
      <c r="E599" s="2">
        <f t="shared" si="39"/>
        <v>1</v>
      </c>
      <c r="F599" s="13" t="s">
        <v>990</v>
      </c>
      <c r="G599" s="101" t="s">
        <v>290</v>
      </c>
      <c r="H599" s="20" t="s">
        <v>30</v>
      </c>
      <c r="I599" s="21" t="s">
        <v>543</v>
      </c>
      <c r="J599" s="128"/>
    </row>
    <row r="600" spans="1:10">
      <c r="A600" s="8" t="s">
        <v>991</v>
      </c>
      <c r="B600" s="19">
        <v>4600000</v>
      </c>
      <c r="C600" s="19">
        <v>2622000</v>
      </c>
      <c r="D600" s="17">
        <f t="shared" si="40"/>
        <v>1978000</v>
      </c>
      <c r="E600" s="2">
        <f t="shared" si="39"/>
        <v>0.75438596491228072</v>
      </c>
      <c r="F600" s="13" t="s">
        <v>992</v>
      </c>
      <c r="G600" s="101" t="s">
        <v>290</v>
      </c>
      <c r="H600" s="20" t="s">
        <v>993</v>
      </c>
      <c r="I600" s="21"/>
      <c r="J600" s="128"/>
    </row>
    <row r="601" spans="1:10">
      <c r="A601" s="9" t="s">
        <v>977</v>
      </c>
      <c r="B601" s="22">
        <v>2786000</v>
      </c>
      <c r="C601" s="22">
        <v>2618840</v>
      </c>
      <c r="D601" s="35">
        <f t="shared" si="40"/>
        <v>167160</v>
      </c>
      <c r="E601" s="3">
        <f t="shared" si="39"/>
        <v>6.3829787234042548E-2</v>
      </c>
      <c r="F601" s="14" t="s">
        <v>994</v>
      </c>
      <c r="G601" s="101" t="s">
        <v>290</v>
      </c>
      <c r="H601" s="23" t="s">
        <v>440</v>
      </c>
      <c r="I601" s="49" t="s">
        <v>969</v>
      </c>
      <c r="J601" s="128"/>
    </row>
    <row r="602" spans="1:10">
      <c r="A602" s="146" t="s">
        <v>427</v>
      </c>
      <c r="B602" s="147"/>
      <c r="C602" s="147"/>
      <c r="D602" s="147"/>
      <c r="E602" s="147"/>
      <c r="F602" s="147"/>
      <c r="G602" s="161"/>
      <c r="H602" s="147"/>
      <c r="I602" s="147"/>
      <c r="J602" s="162"/>
    </row>
    <row r="603" spans="1:10">
      <c r="A603" s="7" t="s">
        <v>995</v>
      </c>
      <c r="B603" s="17">
        <v>3830978.29</v>
      </c>
      <c r="C603" s="17">
        <v>3677739.16</v>
      </c>
      <c r="D603" s="17">
        <f t="shared" si="40"/>
        <v>153239.12999999989</v>
      </c>
      <c r="E603" s="1">
        <f t="shared" si="39"/>
        <v>4.1666666213489668E-2</v>
      </c>
      <c r="F603" s="12" t="s">
        <v>996</v>
      </c>
      <c r="G603" s="101" t="s">
        <v>388</v>
      </c>
      <c r="H603" s="18" t="s">
        <v>440</v>
      </c>
      <c r="I603" s="50" t="s">
        <v>997</v>
      </c>
      <c r="J603" s="127">
        <f>SUM(D603:D659)</f>
        <v>16747891.710000003</v>
      </c>
    </row>
    <row r="604" spans="1:10">
      <c r="A604" s="8" t="s">
        <v>998</v>
      </c>
      <c r="B604" s="19">
        <v>787500</v>
      </c>
      <c r="C604" s="19">
        <v>750000</v>
      </c>
      <c r="D604" s="17">
        <f t="shared" si="40"/>
        <v>37500</v>
      </c>
      <c r="E604" s="2">
        <f t="shared" si="39"/>
        <v>0.05</v>
      </c>
      <c r="F604" s="13" t="s">
        <v>999</v>
      </c>
      <c r="G604" s="101" t="s">
        <v>388</v>
      </c>
      <c r="H604" s="20" t="s">
        <v>584</v>
      </c>
      <c r="I604" s="21" t="s">
        <v>1000</v>
      </c>
      <c r="J604" s="128"/>
    </row>
    <row r="605" spans="1:10">
      <c r="A605" s="8" t="s">
        <v>1001</v>
      </c>
      <c r="B605" s="19">
        <v>3249000</v>
      </c>
      <c r="C605" s="19">
        <v>3150000</v>
      </c>
      <c r="D605" s="17">
        <f t="shared" si="40"/>
        <v>99000</v>
      </c>
      <c r="E605" s="2">
        <f t="shared" si="39"/>
        <v>3.1428571428571431E-2</v>
      </c>
      <c r="F605" s="13" t="s">
        <v>1002</v>
      </c>
      <c r="G605" s="101" t="s">
        <v>388</v>
      </c>
      <c r="H605" s="20" t="s">
        <v>584</v>
      </c>
      <c r="I605" s="21" t="s">
        <v>1003</v>
      </c>
      <c r="J605" s="128"/>
    </row>
    <row r="606" spans="1:10">
      <c r="A606" s="54" t="s">
        <v>1004</v>
      </c>
      <c r="B606" s="55">
        <v>1160167</v>
      </c>
      <c r="C606" s="55">
        <v>1148394</v>
      </c>
      <c r="D606" s="17">
        <f t="shared" si="40"/>
        <v>11773</v>
      </c>
      <c r="E606" s="2">
        <f t="shared" si="39"/>
        <v>1.0251708037485393E-2</v>
      </c>
      <c r="F606" s="13" t="s">
        <v>126</v>
      </c>
      <c r="G606" s="101" t="s">
        <v>388</v>
      </c>
      <c r="H606" s="20" t="s">
        <v>584</v>
      </c>
      <c r="I606" s="49" t="s">
        <v>1005</v>
      </c>
      <c r="J606" s="128"/>
    </row>
    <row r="607" spans="1:10">
      <c r="A607" s="8" t="s">
        <v>1006</v>
      </c>
      <c r="B607" s="19">
        <v>2770000</v>
      </c>
      <c r="C607" s="19">
        <v>2440000</v>
      </c>
      <c r="D607" s="17">
        <f t="shared" si="40"/>
        <v>330000</v>
      </c>
      <c r="E607" s="2">
        <f t="shared" si="39"/>
        <v>0.13524590163934427</v>
      </c>
      <c r="F607" s="13" t="s">
        <v>1007</v>
      </c>
      <c r="G607" s="101" t="s">
        <v>388</v>
      </c>
      <c r="H607" s="20"/>
      <c r="I607" s="21" t="s">
        <v>1008</v>
      </c>
      <c r="J607" s="128"/>
    </row>
    <row r="608" spans="1:10">
      <c r="A608" s="8" t="s">
        <v>648</v>
      </c>
      <c r="B608" s="19">
        <v>6520310</v>
      </c>
      <c r="C608" s="19">
        <v>6324700</v>
      </c>
      <c r="D608" s="17">
        <f t="shared" si="40"/>
        <v>195610</v>
      </c>
      <c r="E608" s="2">
        <f t="shared" si="39"/>
        <v>3.0927949151738424E-2</v>
      </c>
      <c r="F608" s="13" t="s">
        <v>1009</v>
      </c>
      <c r="G608" s="101" t="s">
        <v>388</v>
      </c>
      <c r="H608" s="20" t="s">
        <v>63</v>
      </c>
      <c r="I608" s="21"/>
      <c r="J608" s="128"/>
    </row>
    <row r="609" spans="1:10">
      <c r="A609" s="8" t="s">
        <v>648</v>
      </c>
      <c r="B609" s="19">
        <v>2521600</v>
      </c>
      <c r="C609" s="19">
        <v>2445800</v>
      </c>
      <c r="D609" s="17">
        <f t="shared" si="40"/>
        <v>75800</v>
      </c>
      <c r="E609" s="2">
        <f t="shared" si="39"/>
        <v>3.0991904489328644E-2</v>
      </c>
      <c r="F609" s="13" t="s">
        <v>1010</v>
      </c>
      <c r="G609" s="101" t="s">
        <v>388</v>
      </c>
      <c r="H609" s="20" t="s">
        <v>63</v>
      </c>
      <c r="I609" s="21"/>
      <c r="J609" s="128"/>
    </row>
    <row r="610" spans="1:10">
      <c r="A610" s="8" t="s">
        <v>148</v>
      </c>
      <c r="B610" s="19">
        <v>2171096</v>
      </c>
      <c r="C610" s="19">
        <v>2022368</v>
      </c>
      <c r="D610" s="17">
        <f t="shared" si="40"/>
        <v>148728</v>
      </c>
      <c r="E610" s="2">
        <f t="shared" si="39"/>
        <v>7.3541511732780576E-2</v>
      </c>
      <c r="F610" s="13" t="s">
        <v>700</v>
      </c>
      <c r="G610" s="101" t="s">
        <v>388</v>
      </c>
      <c r="H610" s="20" t="s">
        <v>63</v>
      </c>
      <c r="I610" s="21"/>
      <c r="J610" s="128"/>
    </row>
    <row r="611" spans="1:10">
      <c r="A611" s="8" t="s">
        <v>1011</v>
      </c>
      <c r="B611" s="19">
        <v>22385000</v>
      </c>
      <c r="C611" s="19">
        <v>21500000</v>
      </c>
      <c r="D611" s="17">
        <f t="shared" si="40"/>
        <v>885000</v>
      </c>
      <c r="E611" s="2">
        <f t="shared" si="39"/>
        <v>4.1162790697674416E-2</v>
      </c>
      <c r="F611" s="13" t="s">
        <v>1012</v>
      </c>
      <c r="G611" s="101" t="s">
        <v>388</v>
      </c>
      <c r="H611" s="20" t="s">
        <v>584</v>
      </c>
      <c r="I611" s="21" t="s">
        <v>1013</v>
      </c>
      <c r="J611" s="128"/>
    </row>
    <row r="612" spans="1:10">
      <c r="A612" s="26" t="s">
        <v>1014</v>
      </c>
      <c r="B612" s="27">
        <v>102220159</v>
      </c>
      <c r="C612" s="27">
        <v>97109151.049999997</v>
      </c>
      <c r="D612" s="17">
        <f t="shared" si="40"/>
        <v>5111007.950000003</v>
      </c>
      <c r="E612" s="2">
        <f t="shared" si="39"/>
        <v>5.2631578947368453E-2</v>
      </c>
      <c r="F612" s="13" t="s">
        <v>1015</v>
      </c>
      <c r="G612" s="101" t="s">
        <v>388</v>
      </c>
      <c r="H612" s="20" t="s">
        <v>584</v>
      </c>
      <c r="I612" s="21" t="s">
        <v>1013</v>
      </c>
      <c r="J612" s="128"/>
    </row>
    <row r="613" spans="1:10">
      <c r="A613" s="8" t="s">
        <v>1016</v>
      </c>
      <c r="B613" s="19">
        <v>617625</v>
      </c>
      <c r="C613" s="19">
        <v>586743.75</v>
      </c>
      <c r="D613" s="17">
        <f t="shared" si="40"/>
        <v>30881.25</v>
      </c>
      <c r="E613" s="2">
        <f t="shared" si="39"/>
        <v>5.2631578947368418E-2</v>
      </c>
      <c r="F613" s="13" t="s">
        <v>1017</v>
      </c>
      <c r="G613" s="101" t="s">
        <v>388</v>
      </c>
      <c r="H613" s="20"/>
      <c r="I613" s="21" t="s">
        <v>1018</v>
      </c>
      <c r="J613" s="128"/>
    </row>
    <row r="614" spans="1:10" ht="15.75">
      <c r="A614" s="8" t="s">
        <v>1019</v>
      </c>
      <c r="B614" s="19">
        <v>631250</v>
      </c>
      <c r="C614" s="19">
        <v>533550</v>
      </c>
      <c r="D614" s="17">
        <f t="shared" si="40"/>
        <v>97700</v>
      </c>
      <c r="E614" s="2">
        <f t="shared" si="39"/>
        <v>0.18311311029894106</v>
      </c>
      <c r="F614" s="59" t="s">
        <v>1020</v>
      </c>
      <c r="G614" s="101" t="s">
        <v>388</v>
      </c>
      <c r="H614" s="20"/>
      <c r="I614" s="21" t="s">
        <v>1018</v>
      </c>
      <c r="J614" s="128"/>
    </row>
    <row r="615" spans="1:10">
      <c r="A615" s="8" t="s">
        <v>744</v>
      </c>
      <c r="B615" s="19">
        <v>1228130</v>
      </c>
      <c r="C615" s="19">
        <v>1205000</v>
      </c>
      <c r="D615" s="17">
        <f t="shared" si="40"/>
        <v>23130</v>
      </c>
      <c r="E615" s="2">
        <f t="shared" si="39"/>
        <v>1.9195020746887968E-2</v>
      </c>
      <c r="F615" s="13" t="s">
        <v>1021</v>
      </c>
      <c r="G615" s="101" t="s">
        <v>388</v>
      </c>
      <c r="H615" s="20"/>
      <c r="I615" s="21" t="s">
        <v>391</v>
      </c>
      <c r="J615" s="128"/>
    </row>
    <row r="616" spans="1:10">
      <c r="A616" s="8" t="s">
        <v>1022</v>
      </c>
      <c r="B616" s="55">
        <v>450000</v>
      </c>
      <c r="C616" s="55">
        <v>420000</v>
      </c>
      <c r="D616" s="27">
        <f t="shared" si="40"/>
        <v>30000</v>
      </c>
      <c r="E616" s="2">
        <f t="shared" si="39"/>
        <v>7.1428571428571425E-2</v>
      </c>
      <c r="F616" s="13" t="s">
        <v>1023</v>
      </c>
      <c r="G616" s="101" t="s">
        <v>388</v>
      </c>
      <c r="H616" s="20" t="s">
        <v>440</v>
      </c>
      <c r="I616" s="21"/>
      <c r="J616" s="128"/>
    </row>
    <row r="617" spans="1:10">
      <c r="A617" s="8" t="s">
        <v>1024</v>
      </c>
      <c r="B617" s="27">
        <v>1379800</v>
      </c>
      <c r="C617" s="27">
        <v>1241820</v>
      </c>
      <c r="D617" s="58">
        <f t="shared" si="40"/>
        <v>137980</v>
      </c>
      <c r="E617" s="2">
        <f t="shared" si="39"/>
        <v>0.1111111111111111</v>
      </c>
      <c r="F617" s="13" t="s">
        <v>655</v>
      </c>
      <c r="G617" s="101" t="s">
        <v>388</v>
      </c>
      <c r="H617" s="20" t="s">
        <v>790</v>
      </c>
      <c r="I617" s="21"/>
      <c r="J617" s="128"/>
    </row>
    <row r="618" spans="1:10">
      <c r="A618" s="8" t="s">
        <v>1025</v>
      </c>
      <c r="B618" s="19">
        <v>539400</v>
      </c>
      <c r="C618" s="19">
        <v>513000</v>
      </c>
      <c r="D618" s="17">
        <f t="shared" si="40"/>
        <v>26400</v>
      </c>
      <c r="E618" s="2">
        <f t="shared" si="39"/>
        <v>5.146198830409357E-2</v>
      </c>
      <c r="F618" s="13" t="s">
        <v>1026</v>
      </c>
      <c r="G618" s="101" t="s">
        <v>388</v>
      </c>
      <c r="H618" s="20" t="s">
        <v>584</v>
      </c>
      <c r="I618" s="21" t="s">
        <v>1013</v>
      </c>
      <c r="J618" s="128"/>
    </row>
    <row r="619" spans="1:10">
      <c r="A619" s="8" t="s">
        <v>438</v>
      </c>
      <c r="B619" s="19">
        <v>2603000</v>
      </c>
      <c r="C619" s="19">
        <v>2466000</v>
      </c>
      <c r="D619" s="17">
        <f t="shared" si="40"/>
        <v>137000</v>
      </c>
      <c r="E619" s="2">
        <f t="shared" si="39"/>
        <v>5.5555555555555552E-2</v>
      </c>
      <c r="F619" s="13" t="s">
        <v>1027</v>
      </c>
      <c r="G619" s="101" t="s">
        <v>388</v>
      </c>
      <c r="H619" s="20"/>
      <c r="I619" s="21" t="s">
        <v>831</v>
      </c>
      <c r="J619" s="128"/>
    </row>
    <row r="620" spans="1:10">
      <c r="A620" s="8" t="s">
        <v>1028</v>
      </c>
      <c r="B620" s="19">
        <v>711903.5</v>
      </c>
      <c r="C620" s="19">
        <v>676308.32</v>
      </c>
      <c r="D620" s="17">
        <f t="shared" si="40"/>
        <v>35595.180000000051</v>
      </c>
      <c r="E620" s="2">
        <f t="shared" si="39"/>
        <v>5.2631586729555618E-2</v>
      </c>
      <c r="F620" s="13" t="s">
        <v>1029</v>
      </c>
      <c r="G620" s="101" t="s">
        <v>388</v>
      </c>
      <c r="H620" s="20" t="s">
        <v>383</v>
      </c>
      <c r="I620" s="21"/>
      <c r="J620" s="128"/>
    </row>
    <row r="621" spans="1:10">
      <c r="A621" s="8" t="s">
        <v>1028</v>
      </c>
      <c r="B621" s="19">
        <v>248171</v>
      </c>
      <c r="C621" s="19">
        <v>235762.45</v>
      </c>
      <c r="D621" s="17">
        <f t="shared" si="40"/>
        <v>12408.549999999988</v>
      </c>
      <c r="E621" s="2">
        <f t="shared" si="39"/>
        <v>5.263157894736837E-2</v>
      </c>
      <c r="F621" s="13" t="s">
        <v>1030</v>
      </c>
      <c r="G621" s="101" t="s">
        <v>388</v>
      </c>
      <c r="H621" s="20"/>
      <c r="I621" s="21" t="s">
        <v>1031</v>
      </c>
      <c r="J621" s="128"/>
    </row>
    <row r="622" spans="1:10">
      <c r="A622" s="8" t="s">
        <v>1028</v>
      </c>
      <c r="B622" s="19">
        <v>248141</v>
      </c>
      <c r="C622" s="19">
        <v>235765.45</v>
      </c>
      <c r="D622" s="17">
        <f t="shared" si="40"/>
        <v>12375.549999999988</v>
      </c>
      <c r="E622" s="2">
        <f t="shared" si="39"/>
        <v>5.2490939618167073E-2</v>
      </c>
      <c r="F622" s="13" t="s">
        <v>1032</v>
      </c>
      <c r="G622" s="101" t="s">
        <v>388</v>
      </c>
      <c r="H622" s="20"/>
      <c r="I622" s="21" t="s">
        <v>1031</v>
      </c>
      <c r="J622" s="128"/>
    </row>
    <row r="623" spans="1:10">
      <c r="A623" s="8" t="s">
        <v>1028</v>
      </c>
      <c r="B623" s="19">
        <v>248111</v>
      </c>
      <c r="C623" s="19">
        <v>235768.45</v>
      </c>
      <c r="D623" s="17">
        <f t="shared" si="40"/>
        <v>12342.549999999988</v>
      </c>
      <c r="E623" s="2">
        <f t="shared" si="39"/>
        <v>5.235030386805354E-2</v>
      </c>
      <c r="F623" s="13" t="s">
        <v>1033</v>
      </c>
      <c r="G623" s="101" t="s">
        <v>388</v>
      </c>
      <c r="H623" s="20"/>
      <c r="I623" s="21" t="s">
        <v>1031</v>
      </c>
      <c r="J623" s="128"/>
    </row>
    <row r="624" spans="1:10">
      <c r="A624" s="8" t="s">
        <v>1028</v>
      </c>
      <c r="B624" s="19">
        <v>248081</v>
      </c>
      <c r="C624" s="19">
        <v>235771.45</v>
      </c>
      <c r="D624" s="17">
        <f t="shared" si="40"/>
        <v>12309.549999999988</v>
      </c>
      <c r="E624" s="2">
        <f t="shared" si="39"/>
        <v>5.2209671696891155E-2</v>
      </c>
      <c r="F624" s="13" t="s">
        <v>1034</v>
      </c>
      <c r="G624" s="101" t="s">
        <v>388</v>
      </c>
      <c r="H624" s="20"/>
      <c r="I624" s="21" t="s">
        <v>1031</v>
      </c>
      <c r="J624" s="128"/>
    </row>
    <row r="625" spans="1:10">
      <c r="A625" s="8" t="s">
        <v>1028</v>
      </c>
      <c r="B625" s="19">
        <v>882453</v>
      </c>
      <c r="C625" s="19">
        <v>838330.35</v>
      </c>
      <c r="D625" s="17">
        <f t="shared" si="40"/>
        <v>44122.650000000023</v>
      </c>
      <c r="E625" s="2">
        <f t="shared" si="39"/>
        <v>5.2631578947368453E-2</v>
      </c>
      <c r="F625" s="13" t="s">
        <v>1035</v>
      </c>
      <c r="G625" s="101" t="s">
        <v>388</v>
      </c>
      <c r="H625" s="20"/>
      <c r="I625" s="21" t="s">
        <v>1031</v>
      </c>
      <c r="J625" s="128"/>
    </row>
    <row r="626" spans="1:10">
      <c r="A626" s="8" t="s">
        <v>783</v>
      </c>
      <c r="B626" s="19">
        <v>594523</v>
      </c>
      <c r="C626" s="19">
        <v>559034</v>
      </c>
      <c r="D626" s="17">
        <f t="shared" si="40"/>
        <v>35489</v>
      </c>
      <c r="E626" s="2">
        <f t="shared" si="39"/>
        <v>6.3482721981131737E-2</v>
      </c>
      <c r="F626" s="13" t="s">
        <v>1036</v>
      </c>
      <c r="G626" s="101" t="s">
        <v>388</v>
      </c>
      <c r="H626" s="20" t="s">
        <v>391</v>
      </c>
      <c r="I626" s="21"/>
      <c r="J626" s="128"/>
    </row>
    <row r="627" spans="1:10">
      <c r="A627" s="8" t="s">
        <v>457</v>
      </c>
      <c r="B627" s="19">
        <v>3054137</v>
      </c>
      <c r="C627" s="19">
        <v>2883454</v>
      </c>
      <c r="D627" s="17">
        <f t="shared" si="40"/>
        <v>170683</v>
      </c>
      <c r="E627" s="2">
        <f t="shared" si="39"/>
        <v>5.9193938935734713E-2</v>
      </c>
      <c r="F627" s="13" t="s">
        <v>1037</v>
      </c>
      <c r="G627" s="101" t="s">
        <v>388</v>
      </c>
      <c r="H627" s="20" t="s">
        <v>1038</v>
      </c>
      <c r="I627" s="21"/>
      <c r="J627" s="128"/>
    </row>
    <row r="628" spans="1:10">
      <c r="A628" s="8" t="s">
        <v>870</v>
      </c>
      <c r="B628" s="19">
        <v>2986000</v>
      </c>
      <c r="C628" s="19">
        <v>2806840</v>
      </c>
      <c r="D628" s="17">
        <f t="shared" si="40"/>
        <v>179160</v>
      </c>
      <c r="E628" s="2">
        <f t="shared" si="39"/>
        <v>6.3829787234042548E-2</v>
      </c>
      <c r="F628" s="13" t="s">
        <v>1039</v>
      </c>
      <c r="G628" s="101" t="s">
        <v>388</v>
      </c>
      <c r="H628" s="48" t="s">
        <v>440</v>
      </c>
      <c r="I628" s="21" t="s">
        <v>831</v>
      </c>
      <c r="J628" s="128"/>
    </row>
    <row r="629" spans="1:10">
      <c r="A629" s="8" t="s">
        <v>870</v>
      </c>
      <c r="B629" s="19">
        <v>4495000</v>
      </c>
      <c r="C629" s="19">
        <v>4225300</v>
      </c>
      <c r="D629" s="17">
        <f t="shared" si="40"/>
        <v>269700</v>
      </c>
      <c r="E629" s="2">
        <f t="shared" si="39"/>
        <v>6.3829787234042548E-2</v>
      </c>
      <c r="F629" s="13" t="s">
        <v>1040</v>
      </c>
      <c r="G629" s="101" t="s">
        <v>388</v>
      </c>
      <c r="H629" s="48" t="s">
        <v>440</v>
      </c>
      <c r="I629" s="21" t="s">
        <v>831</v>
      </c>
      <c r="J629" s="128"/>
    </row>
    <row r="630" spans="1:10">
      <c r="A630" s="8" t="s">
        <v>573</v>
      </c>
      <c r="B630" s="19">
        <v>2570000</v>
      </c>
      <c r="C630" s="19">
        <v>2450000</v>
      </c>
      <c r="D630" s="17">
        <f t="shared" si="40"/>
        <v>120000</v>
      </c>
      <c r="E630" s="2">
        <f t="shared" si="39"/>
        <v>4.8979591836734691E-2</v>
      </c>
      <c r="F630" s="13" t="s">
        <v>1041</v>
      </c>
      <c r="G630" s="101" t="s">
        <v>388</v>
      </c>
      <c r="H630" s="48" t="s">
        <v>440</v>
      </c>
      <c r="I630" s="21" t="s">
        <v>831</v>
      </c>
      <c r="J630" s="128"/>
    </row>
    <row r="631" spans="1:10">
      <c r="A631" s="8" t="s">
        <v>573</v>
      </c>
      <c r="B631" s="19">
        <v>3690200</v>
      </c>
      <c r="C631" s="19">
        <v>3520000</v>
      </c>
      <c r="D631" s="17">
        <f t="shared" si="40"/>
        <v>170200</v>
      </c>
      <c r="E631" s="2">
        <f t="shared" si="39"/>
        <v>4.835227272727273E-2</v>
      </c>
      <c r="F631" s="13" t="s">
        <v>1042</v>
      </c>
      <c r="G631" s="101" t="s">
        <v>388</v>
      </c>
      <c r="H631" s="48" t="s">
        <v>440</v>
      </c>
      <c r="I631" s="21" t="s">
        <v>831</v>
      </c>
      <c r="J631" s="128"/>
    </row>
    <row r="632" spans="1:10">
      <c r="A632" s="8" t="s">
        <v>573</v>
      </c>
      <c r="B632" s="19">
        <v>3620500</v>
      </c>
      <c r="C632" s="19">
        <v>3500000</v>
      </c>
      <c r="D632" s="17">
        <f t="shared" si="40"/>
        <v>120500</v>
      </c>
      <c r="E632" s="2">
        <f t="shared" si="39"/>
        <v>3.4428571428571426E-2</v>
      </c>
      <c r="F632" s="13" t="s">
        <v>1043</v>
      </c>
      <c r="G632" s="101" t="s">
        <v>388</v>
      </c>
      <c r="H632" s="48" t="s">
        <v>440</v>
      </c>
      <c r="I632" s="21" t="s">
        <v>831</v>
      </c>
      <c r="J632" s="128"/>
    </row>
    <row r="633" spans="1:10">
      <c r="A633" s="8" t="s">
        <v>573</v>
      </c>
      <c r="B633" s="19">
        <v>842400</v>
      </c>
      <c r="C633" s="19">
        <v>785000</v>
      </c>
      <c r="D633" s="17">
        <f t="shared" si="40"/>
        <v>57400</v>
      </c>
      <c r="E633" s="2">
        <f t="shared" si="39"/>
        <v>7.3121019108280255E-2</v>
      </c>
      <c r="F633" s="13" t="s">
        <v>1044</v>
      </c>
      <c r="G633" s="101" t="s">
        <v>388</v>
      </c>
      <c r="H633" s="48" t="s">
        <v>440</v>
      </c>
      <c r="I633" s="21" t="s">
        <v>831</v>
      </c>
      <c r="J633" s="128"/>
    </row>
    <row r="634" spans="1:10">
      <c r="A634" s="8" t="s">
        <v>438</v>
      </c>
      <c r="B634" s="19">
        <v>723010</v>
      </c>
      <c r="C634" s="19">
        <v>684957</v>
      </c>
      <c r="D634" s="17">
        <f t="shared" si="40"/>
        <v>38053</v>
      </c>
      <c r="E634" s="2">
        <f t="shared" si="39"/>
        <v>5.5555312231278749E-2</v>
      </c>
      <c r="F634" s="13" t="s">
        <v>1045</v>
      </c>
      <c r="G634" s="101" t="s">
        <v>388</v>
      </c>
      <c r="H634" s="48" t="s">
        <v>440</v>
      </c>
      <c r="I634" s="21" t="s">
        <v>831</v>
      </c>
      <c r="J634" s="128"/>
    </row>
    <row r="635" spans="1:10">
      <c r="A635" s="8" t="s">
        <v>438</v>
      </c>
      <c r="B635" s="19">
        <v>129799</v>
      </c>
      <c r="C635" s="19">
        <v>122948</v>
      </c>
      <c r="D635" s="17">
        <f t="shared" si="40"/>
        <v>6851</v>
      </c>
      <c r="E635" s="2">
        <f t="shared" si="39"/>
        <v>5.5722744574942251E-2</v>
      </c>
      <c r="F635" s="13" t="s">
        <v>1046</v>
      </c>
      <c r="G635" s="101" t="s">
        <v>388</v>
      </c>
      <c r="H635" s="48" t="s">
        <v>440</v>
      </c>
      <c r="I635" s="49" t="s">
        <v>831</v>
      </c>
      <c r="J635" s="128"/>
    </row>
    <row r="636" spans="1:10">
      <c r="A636" s="8" t="s">
        <v>1028</v>
      </c>
      <c r="B636" s="19">
        <v>378367</v>
      </c>
      <c r="C636" s="19">
        <v>359448.65</v>
      </c>
      <c r="D636" s="17">
        <f t="shared" si="40"/>
        <v>18918.349999999977</v>
      </c>
      <c r="E636" s="2">
        <f t="shared" si="39"/>
        <v>5.2631578947368356E-2</v>
      </c>
      <c r="F636" s="13" t="s">
        <v>1047</v>
      </c>
      <c r="G636" s="101" t="s">
        <v>388</v>
      </c>
      <c r="H636" s="20"/>
      <c r="I636" s="21" t="s">
        <v>1048</v>
      </c>
      <c r="J636" s="128"/>
    </row>
    <row r="637" spans="1:10">
      <c r="A637" s="8" t="s">
        <v>438</v>
      </c>
      <c r="B637" s="19">
        <v>2238500</v>
      </c>
      <c r="C637" s="19">
        <v>2117500</v>
      </c>
      <c r="D637" s="17">
        <f t="shared" si="40"/>
        <v>121000</v>
      </c>
      <c r="E637" s="2">
        <f t="shared" si="39"/>
        <v>5.7142857142857141E-2</v>
      </c>
      <c r="F637" s="13" t="s">
        <v>1049</v>
      </c>
      <c r="G637" s="101" t="s">
        <v>388</v>
      </c>
      <c r="H637" s="20" t="s">
        <v>440</v>
      </c>
      <c r="I637" s="21" t="s">
        <v>1050</v>
      </c>
      <c r="J637" s="128"/>
    </row>
    <row r="638" spans="1:10">
      <c r="A638" s="8" t="s">
        <v>438</v>
      </c>
      <c r="B638" s="19">
        <v>2094586</v>
      </c>
      <c r="C638" s="19">
        <v>1938610</v>
      </c>
      <c r="D638" s="17">
        <f t="shared" si="40"/>
        <v>155976</v>
      </c>
      <c r="E638" s="2">
        <f t="shared" si="39"/>
        <v>8.0457647489696221E-2</v>
      </c>
      <c r="F638" s="13" t="s">
        <v>1051</v>
      </c>
      <c r="G638" s="101" t="s">
        <v>388</v>
      </c>
      <c r="H638" s="20" t="s">
        <v>440</v>
      </c>
      <c r="I638" s="21" t="s">
        <v>1050</v>
      </c>
      <c r="J638" s="128"/>
    </row>
    <row r="639" spans="1:10">
      <c r="A639" s="8" t="s">
        <v>870</v>
      </c>
      <c r="B639" s="19">
        <v>2986000</v>
      </c>
      <c r="C639" s="19">
        <v>2806840</v>
      </c>
      <c r="D639" s="17">
        <f t="shared" si="40"/>
        <v>179160</v>
      </c>
      <c r="E639" s="2">
        <f t="shared" si="39"/>
        <v>6.3829787234042548E-2</v>
      </c>
      <c r="F639" s="13" t="s">
        <v>1052</v>
      </c>
      <c r="G639" s="101" t="s">
        <v>388</v>
      </c>
      <c r="H639" s="20" t="s">
        <v>440</v>
      </c>
      <c r="I639" s="21" t="s">
        <v>1050</v>
      </c>
      <c r="J639" s="128"/>
    </row>
    <row r="640" spans="1:10">
      <c r="A640" s="54" t="s">
        <v>1053</v>
      </c>
      <c r="B640" s="55">
        <v>863000</v>
      </c>
      <c r="C640" s="55">
        <v>820000</v>
      </c>
      <c r="D640" s="27">
        <f t="shared" si="40"/>
        <v>43000</v>
      </c>
      <c r="E640" s="2">
        <f t="shared" si="39"/>
        <v>5.24390243902439E-2</v>
      </c>
      <c r="F640" s="13" t="s">
        <v>1054</v>
      </c>
      <c r="G640" s="101" t="s">
        <v>388</v>
      </c>
      <c r="H640" s="20"/>
      <c r="I640" s="21" t="s">
        <v>1038</v>
      </c>
      <c r="J640" s="128"/>
    </row>
    <row r="641" spans="1:10">
      <c r="A641" s="8" t="s">
        <v>1055</v>
      </c>
      <c r="B641" s="19">
        <v>11200000</v>
      </c>
      <c r="C641" s="19">
        <v>7140000</v>
      </c>
      <c r="D641" s="17">
        <f t="shared" si="40"/>
        <v>4060000</v>
      </c>
      <c r="E641" s="2">
        <f t="shared" si="39"/>
        <v>0.56862745098039214</v>
      </c>
      <c r="F641" s="13" t="s">
        <v>1056</v>
      </c>
      <c r="G641" s="101" t="s">
        <v>388</v>
      </c>
      <c r="H641" s="20"/>
      <c r="I641" s="21"/>
      <c r="J641" s="128"/>
    </row>
    <row r="642" spans="1:10">
      <c r="A642" s="56" t="s">
        <v>1057</v>
      </c>
      <c r="B642" s="55">
        <v>715000</v>
      </c>
      <c r="C642" s="55">
        <v>664950</v>
      </c>
      <c r="D642" s="17">
        <f t="shared" si="40"/>
        <v>50050</v>
      </c>
      <c r="E642" s="62">
        <f t="shared" si="39"/>
        <v>7.5268817204301078E-2</v>
      </c>
      <c r="F642" s="13" t="s">
        <v>655</v>
      </c>
      <c r="G642" s="101" t="s">
        <v>388</v>
      </c>
      <c r="H642" s="20"/>
      <c r="I642" s="21" t="s">
        <v>1058</v>
      </c>
      <c r="J642" s="128"/>
    </row>
    <row r="643" spans="1:10">
      <c r="A643" s="54" t="s">
        <v>438</v>
      </c>
      <c r="B643" s="55">
        <v>2603000</v>
      </c>
      <c r="C643" s="55">
        <v>2466000</v>
      </c>
      <c r="D643" s="17">
        <f t="shared" si="40"/>
        <v>137000</v>
      </c>
      <c r="E643" s="62">
        <f t="shared" si="39"/>
        <v>5.5555555555555552E-2</v>
      </c>
      <c r="F643" s="13" t="s">
        <v>1059</v>
      </c>
      <c r="G643" s="101" t="s">
        <v>388</v>
      </c>
      <c r="H643" s="48" t="s">
        <v>440</v>
      </c>
      <c r="I643" s="21" t="s">
        <v>831</v>
      </c>
      <c r="J643" s="128"/>
    </row>
    <row r="644" spans="1:10">
      <c r="A644" s="54" t="s">
        <v>438</v>
      </c>
      <c r="B644" s="55">
        <v>439148</v>
      </c>
      <c r="C644" s="55">
        <v>416034</v>
      </c>
      <c r="D644" s="17">
        <f t="shared" si="40"/>
        <v>23114</v>
      </c>
      <c r="E644" s="62">
        <f t="shared" si="39"/>
        <v>5.555795920525726E-2</v>
      </c>
      <c r="F644" s="13" t="s">
        <v>1060</v>
      </c>
      <c r="G644" s="101" t="s">
        <v>388</v>
      </c>
      <c r="H644" s="48" t="s">
        <v>440</v>
      </c>
      <c r="I644" s="21" t="s">
        <v>831</v>
      </c>
      <c r="J644" s="128"/>
    </row>
    <row r="645" spans="1:10">
      <c r="A645" s="54" t="s">
        <v>438</v>
      </c>
      <c r="B645" s="55">
        <v>1118207</v>
      </c>
      <c r="C645" s="55">
        <v>1059355</v>
      </c>
      <c r="D645" s="17">
        <f t="shared" si="40"/>
        <v>58852</v>
      </c>
      <c r="E645" s="62">
        <f t="shared" si="39"/>
        <v>5.55545591421195E-2</v>
      </c>
      <c r="F645" s="13" t="s">
        <v>1061</v>
      </c>
      <c r="G645" s="101" t="s">
        <v>388</v>
      </c>
      <c r="H645" s="48" t="s">
        <v>440</v>
      </c>
      <c r="I645" s="49" t="s">
        <v>831</v>
      </c>
      <c r="J645" s="128"/>
    </row>
    <row r="646" spans="1:10">
      <c r="A646" s="8" t="s">
        <v>457</v>
      </c>
      <c r="B646" s="19">
        <v>13152000</v>
      </c>
      <c r="C646" s="19">
        <v>12362900</v>
      </c>
      <c r="D646" s="17">
        <f t="shared" si="40"/>
        <v>789100</v>
      </c>
      <c r="E646" s="62">
        <f t="shared" si="39"/>
        <v>6.382806623041519E-2</v>
      </c>
      <c r="F646" s="13" t="s">
        <v>1062</v>
      </c>
      <c r="G646" s="101" t="s">
        <v>388</v>
      </c>
      <c r="H646" s="48" t="s">
        <v>440</v>
      </c>
      <c r="I646" s="49" t="s">
        <v>831</v>
      </c>
      <c r="J646" s="128"/>
    </row>
    <row r="647" spans="1:10">
      <c r="A647" s="8" t="s">
        <v>783</v>
      </c>
      <c r="B647" s="19">
        <v>638959</v>
      </c>
      <c r="C647" s="19">
        <v>605329</v>
      </c>
      <c r="D647" s="17">
        <f t="shared" si="40"/>
        <v>33630</v>
      </c>
      <c r="E647" s="2">
        <f t="shared" si="39"/>
        <v>5.5556565107569601E-2</v>
      </c>
      <c r="F647" s="13" t="s">
        <v>1063</v>
      </c>
      <c r="G647" s="101" t="s">
        <v>388</v>
      </c>
      <c r="H647" s="48" t="s">
        <v>440</v>
      </c>
      <c r="I647" s="49" t="s">
        <v>831</v>
      </c>
      <c r="J647" s="128"/>
    </row>
    <row r="648" spans="1:10">
      <c r="A648" s="8" t="s">
        <v>783</v>
      </c>
      <c r="B648" s="19">
        <v>644454</v>
      </c>
      <c r="C648" s="19">
        <v>610534</v>
      </c>
      <c r="D648" s="17">
        <f t="shared" si="40"/>
        <v>33920</v>
      </c>
      <c r="E648" s="2">
        <f t="shared" si="39"/>
        <v>5.5557921426161359E-2</v>
      </c>
      <c r="F648" s="13" t="s">
        <v>1064</v>
      </c>
      <c r="G648" s="101" t="s">
        <v>388</v>
      </c>
      <c r="H648" s="48" t="s">
        <v>440</v>
      </c>
      <c r="I648" s="49" t="s">
        <v>831</v>
      </c>
      <c r="J648" s="128"/>
    </row>
    <row r="649" spans="1:10">
      <c r="A649" s="8" t="s">
        <v>457</v>
      </c>
      <c r="B649" s="19">
        <v>514521</v>
      </c>
      <c r="C649" s="19">
        <v>487441</v>
      </c>
      <c r="D649" s="17">
        <f t="shared" si="40"/>
        <v>27080</v>
      </c>
      <c r="E649" s="2">
        <f t="shared" si="39"/>
        <v>5.5555441581647831E-2</v>
      </c>
      <c r="F649" s="13" t="s">
        <v>1065</v>
      </c>
      <c r="G649" s="101" t="s">
        <v>388</v>
      </c>
      <c r="H649" s="48" t="s">
        <v>440</v>
      </c>
      <c r="I649" s="49" t="s">
        <v>831</v>
      </c>
      <c r="J649" s="128"/>
    </row>
    <row r="650" spans="1:10">
      <c r="A650" s="8" t="s">
        <v>853</v>
      </c>
      <c r="B650" s="19">
        <v>1750240</v>
      </c>
      <c r="C650" s="19">
        <v>1645240</v>
      </c>
      <c r="D650" s="17">
        <f t="shared" si="40"/>
        <v>105000</v>
      </c>
      <c r="E650" s="2">
        <f t="shared" si="39"/>
        <v>6.3820476039969848E-2</v>
      </c>
      <c r="F650" s="13" t="s">
        <v>1066</v>
      </c>
      <c r="G650" s="101" t="s">
        <v>388</v>
      </c>
      <c r="H650" s="48" t="s">
        <v>440</v>
      </c>
      <c r="I650" s="49" t="s">
        <v>831</v>
      </c>
      <c r="J650" s="128"/>
    </row>
    <row r="651" spans="1:10">
      <c r="A651" s="8" t="s">
        <v>783</v>
      </c>
      <c r="B651" s="19">
        <v>746255</v>
      </c>
      <c r="C651" s="19">
        <v>706979</v>
      </c>
      <c r="D651" s="17">
        <f t="shared" si="40"/>
        <v>39276</v>
      </c>
      <c r="E651" s="2">
        <f t="shared" si="39"/>
        <v>5.5554691157728875E-2</v>
      </c>
      <c r="F651" s="13" t="s">
        <v>1067</v>
      </c>
      <c r="G651" s="101" t="s">
        <v>388</v>
      </c>
      <c r="H651" s="48" t="s">
        <v>440</v>
      </c>
      <c r="I651" s="49" t="s">
        <v>831</v>
      </c>
      <c r="J651" s="128"/>
    </row>
    <row r="652" spans="1:10">
      <c r="A652" s="8" t="s">
        <v>783</v>
      </c>
      <c r="B652" s="19">
        <v>289674</v>
      </c>
      <c r="C652" s="19">
        <v>274428</v>
      </c>
      <c r="D652" s="17">
        <f t="shared" si="40"/>
        <v>15246</v>
      </c>
      <c r="E652" s="2">
        <f t="shared" si="39"/>
        <v>5.5555555555555552E-2</v>
      </c>
      <c r="F652" s="13" t="s">
        <v>1068</v>
      </c>
      <c r="G652" s="101" t="s">
        <v>388</v>
      </c>
      <c r="H652" s="48" t="s">
        <v>440</v>
      </c>
      <c r="I652" s="49" t="s">
        <v>831</v>
      </c>
      <c r="J652" s="128"/>
    </row>
    <row r="653" spans="1:10" ht="15.75">
      <c r="A653" s="54" t="s">
        <v>870</v>
      </c>
      <c r="B653" s="55">
        <v>12849000</v>
      </c>
      <c r="C653" s="55">
        <v>12078000</v>
      </c>
      <c r="D653" s="17">
        <f t="shared" si="40"/>
        <v>771000</v>
      </c>
      <c r="E653" s="2">
        <f t="shared" ref="E653:E716" si="43">(B653-C653)/C653</f>
        <v>6.3835072031793338E-2</v>
      </c>
      <c r="F653" s="63" t="s">
        <v>1069</v>
      </c>
      <c r="G653" s="101" t="s">
        <v>388</v>
      </c>
      <c r="H653" s="48" t="s">
        <v>440</v>
      </c>
      <c r="I653" s="49" t="s">
        <v>831</v>
      </c>
      <c r="J653" s="128"/>
    </row>
    <row r="654" spans="1:10" ht="15.75">
      <c r="A654" s="54" t="s">
        <v>184</v>
      </c>
      <c r="B654" s="55">
        <v>1875680</v>
      </c>
      <c r="C654" s="55">
        <v>1795850</v>
      </c>
      <c r="D654" s="17">
        <f t="shared" si="40"/>
        <v>79830</v>
      </c>
      <c r="E654" s="44">
        <f t="shared" si="43"/>
        <v>4.4452487679928723E-2</v>
      </c>
      <c r="F654" s="65" t="s">
        <v>1070</v>
      </c>
      <c r="G654" s="101" t="s">
        <v>388</v>
      </c>
      <c r="H654" s="48" t="s">
        <v>440</v>
      </c>
      <c r="I654" s="49" t="s">
        <v>831</v>
      </c>
      <c r="J654" s="128"/>
    </row>
    <row r="655" spans="1:10" ht="15.75">
      <c r="A655" s="54" t="s">
        <v>485</v>
      </c>
      <c r="B655" s="55">
        <v>1270000</v>
      </c>
      <c r="C655" s="55">
        <v>1150000</v>
      </c>
      <c r="D655" s="17">
        <f t="shared" ref="D655:D659" si="44">B655-C655</f>
        <v>120000</v>
      </c>
      <c r="E655" s="44">
        <f t="shared" si="43"/>
        <v>0.10434782608695652</v>
      </c>
      <c r="F655" s="64" t="s">
        <v>1071</v>
      </c>
      <c r="G655" s="101" t="s">
        <v>388</v>
      </c>
      <c r="H655" s="48" t="s">
        <v>440</v>
      </c>
      <c r="I655" s="49" t="s">
        <v>831</v>
      </c>
      <c r="J655" s="128"/>
    </row>
    <row r="656" spans="1:10" ht="15.75">
      <c r="A656" s="54" t="s">
        <v>485</v>
      </c>
      <c r="B656" s="55">
        <v>2366700</v>
      </c>
      <c r="C656" s="55">
        <v>2150000</v>
      </c>
      <c r="D656" s="17">
        <f t="shared" si="44"/>
        <v>216700</v>
      </c>
      <c r="E656" s="2">
        <f t="shared" si="43"/>
        <v>0.1007906976744186</v>
      </c>
      <c r="F656" s="63" t="s">
        <v>1072</v>
      </c>
      <c r="G656" s="101" t="s">
        <v>388</v>
      </c>
      <c r="H656" s="48" t="s">
        <v>440</v>
      </c>
      <c r="I656" s="49" t="s">
        <v>831</v>
      </c>
      <c r="J656" s="128"/>
    </row>
    <row r="657" spans="1:10" ht="15.75">
      <c r="A657" s="54" t="s">
        <v>485</v>
      </c>
      <c r="B657" s="55">
        <v>1892100</v>
      </c>
      <c r="C657" s="55">
        <v>1720000</v>
      </c>
      <c r="D657" s="17">
        <f t="shared" si="44"/>
        <v>172100</v>
      </c>
      <c r="E657" s="44">
        <f t="shared" si="43"/>
        <v>0.10005813953488372</v>
      </c>
      <c r="F657" s="64" t="s">
        <v>1073</v>
      </c>
      <c r="G657" s="101" t="s">
        <v>388</v>
      </c>
      <c r="H657" s="48" t="s">
        <v>440</v>
      </c>
      <c r="I657" s="49" t="s">
        <v>831</v>
      </c>
      <c r="J657" s="128"/>
    </row>
    <row r="658" spans="1:10">
      <c r="A658" s="54" t="s">
        <v>485</v>
      </c>
      <c r="B658" s="55">
        <v>1670000</v>
      </c>
      <c r="C658" s="55">
        <v>1500000</v>
      </c>
      <c r="D658" s="17">
        <f t="shared" si="44"/>
        <v>170000</v>
      </c>
      <c r="E658" s="2">
        <f t="shared" si="43"/>
        <v>0.11333333333333333</v>
      </c>
      <c r="F658" s="12" t="s">
        <v>1074</v>
      </c>
      <c r="G658" s="101" t="s">
        <v>388</v>
      </c>
      <c r="H658" s="48" t="s">
        <v>440</v>
      </c>
      <c r="I658" s="49" t="s">
        <v>831</v>
      </c>
      <c r="J658" s="128"/>
    </row>
    <row r="659" spans="1:10" ht="15.75">
      <c r="A659" s="54" t="s">
        <v>485</v>
      </c>
      <c r="B659" s="55">
        <v>5700000</v>
      </c>
      <c r="C659" s="55">
        <v>5200000</v>
      </c>
      <c r="D659" s="17">
        <f t="shared" si="44"/>
        <v>500000</v>
      </c>
      <c r="E659" s="2">
        <f t="shared" si="43"/>
        <v>9.6153846153846159E-2</v>
      </c>
      <c r="F659" s="63" t="s">
        <v>1075</v>
      </c>
      <c r="G659" s="101" t="s">
        <v>388</v>
      </c>
      <c r="H659" s="48" t="s">
        <v>440</v>
      </c>
      <c r="I659" s="49" t="s">
        <v>831</v>
      </c>
      <c r="J659" s="129"/>
    </row>
    <row r="660" spans="1:10">
      <c r="A660" s="130" t="s">
        <v>1076</v>
      </c>
      <c r="B660" s="131"/>
      <c r="C660" s="131"/>
      <c r="D660" s="131"/>
      <c r="E660" s="131"/>
      <c r="F660" s="131"/>
      <c r="G660" s="132"/>
      <c r="H660" s="131"/>
      <c r="I660" s="131"/>
      <c r="J660" s="133"/>
    </row>
    <row r="661" spans="1:10">
      <c r="A661" s="8" t="s">
        <v>1077</v>
      </c>
      <c r="B661" s="19">
        <v>7646466.7599999998</v>
      </c>
      <c r="C661" s="19">
        <v>7162464.71</v>
      </c>
      <c r="D661" s="17">
        <f t="shared" ref="D661:D662" si="45">B661-C661</f>
        <v>484002.04999999981</v>
      </c>
      <c r="E661" s="2">
        <f t="shared" ref="E661:E663" si="46">(B661-C661)/C661</f>
        <v>6.7574790186994138E-2</v>
      </c>
      <c r="F661" s="13" t="s">
        <v>1078</v>
      </c>
      <c r="G661" s="100" t="s">
        <v>431</v>
      </c>
      <c r="H661" s="20"/>
      <c r="I661" s="21" t="s">
        <v>1079</v>
      </c>
      <c r="J661" s="127">
        <f>SUM(D661:D718)</f>
        <v>12815281.540000003</v>
      </c>
    </row>
    <row r="662" spans="1:10">
      <c r="A662" s="8" t="s">
        <v>1080</v>
      </c>
      <c r="B662" s="19">
        <v>528746</v>
      </c>
      <c r="C662" s="19">
        <v>496826</v>
      </c>
      <c r="D662" s="17">
        <f t="shared" si="45"/>
        <v>31920</v>
      </c>
      <c r="E662" s="2">
        <f t="shared" si="46"/>
        <v>6.4247845322104716E-2</v>
      </c>
      <c r="F662" s="13" t="s">
        <v>1081</v>
      </c>
      <c r="G662" s="100" t="s">
        <v>431</v>
      </c>
      <c r="H662" s="20" t="s">
        <v>937</v>
      </c>
      <c r="I662" s="21" t="s">
        <v>831</v>
      </c>
      <c r="J662" s="128"/>
    </row>
    <row r="663" spans="1:10">
      <c r="A663" s="8" t="s">
        <v>1080</v>
      </c>
      <c r="B663" s="19">
        <v>157510</v>
      </c>
      <c r="C663" s="19">
        <v>149220</v>
      </c>
      <c r="D663" s="17">
        <f t="shared" ref="D655:D718" si="47">B663-C663</f>
        <v>8290</v>
      </c>
      <c r="E663" s="2">
        <f t="shared" si="46"/>
        <v>5.5555555555555552E-2</v>
      </c>
      <c r="F663" s="13" t="s">
        <v>1082</v>
      </c>
      <c r="G663" s="100" t="s">
        <v>431</v>
      </c>
      <c r="H663" s="20" t="s">
        <v>937</v>
      </c>
      <c r="I663" s="21" t="s">
        <v>831</v>
      </c>
      <c r="J663" s="128"/>
    </row>
    <row r="664" spans="1:10">
      <c r="A664" s="8" t="s">
        <v>1080</v>
      </c>
      <c r="B664" s="19">
        <v>650738</v>
      </c>
      <c r="C664" s="19">
        <v>610203</v>
      </c>
      <c r="D664" s="17">
        <f t="shared" si="47"/>
        <v>40535</v>
      </c>
      <c r="E664" s="2">
        <f t="shared" si="43"/>
        <v>6.6428713067618481E-2</v>
      </c>
      <c r="F664" s="13" t="s">
        <v>1083</v>
      </c>
      <c r="G664" s="100" t="s">
        <v>431</v>
      </c>
      <c r="H664" s="20" t="s">
        <v>937</v>
      </c>
      <c r="I664" s="21" t="s">
        <v>831</v>
      </c>
      <c r="J664" s="128"/>
    </row>
    <row r="665" spans="1:10">
      <c r="A665" s="8" t="s">
        <v>853</v>
      </c>
      <c r="B665" s="19">
        <v>1027865</v>
      </c>
      <c r="C665" s="19">
        <v>966220</v>
      </c>
      <c r="D665" s="17">
        <f t="shared" si="47"/>
        <v>61645</v>
      </c>
      <c r="E665" s="2">
        <f t="shared" si="43"/>
        <v>6.3800169733601045E-2</v>
      </c>
      <c r="F665" s="13" t="s">
        <v>1084</v>
      </c>
      <c r="G665" s="100" t="s">
        <v>431</v>
      </c>
      <c r="H665" s="20" t="s">
        <v>937</v>
      </c>
      <c r="I665" s="21" t="s">
        <v>831</v>
      </c>
      <c r="J665" s="128"/>
    </row>
    <row r="666" spans="1:10">
      <c r="A666" s="8" t="s">
        <v>1080</v>
      </c>
      <c r="B666" s="19">
        <v>2205287</v>
      </c>
      <c r="C666" s="19">
        <v>2089220</v>
      </c>
      <c r="D666" s="17">
        <f t="shared" si="47"/>
        <v>116067</v>
      </c>
      <c r="E666" s="2">
        <f t="shared" si="43"/>
        <v>5.5555183274140586E-2</v>
      </c>
      <c r="F666" s="13" t="s">
        <v>1085</v>
      </c>
      <c r="G666" s="100" t="s">
        <v>431</v>
      </c>
      <c r="H666" s="20" t="s">
        <v>937</v>
      </c>
      <c r="I666" s="21" t="s">
        <v>831</v>
      </c>
      <c r="J666" s="128"/>
    </row>
    <row r="667" spans="1:10">
      <c r="A667" s="8" t="s">
        <v>1080</v>
      </c>
      <c r="B667" s="19">
        <v>1660272</v>
      </c>
      <c r="C667" s="19">
        <v>1543802</v>
      </c>
      <c r="D667" s="17">
        <f t="shared" si="47"/>
        <v>116470</v>
      </c>
      <c r="E667" s="2">
        <f t="shared" si="43"/>
        <v>7.5443612587624581E-2</v>
      </c>
      <c r="F667" s="13" t="s">
        <v>1086</v>
      </c>
      <c r="G667" s="100" t="s">
        <v>431</v>
      </c>
      <c r="H667" s="20" t="s">
        <v>937</v>
      </c>
      <c r="I667" s="21" t="s">
        <v>831</v>
      </c>
      <c r="J667" s="128"/>
    </row>
    <row r="668" spans="1:10">
      <c r="A668" s="8" t="s">
        <v>1080</v>
      </c>
      <c r="B668" s="19">
        <v>1963895</v>
      </c>
      <c r="C668" s="19">
        <v>1000000</v>
      </c>
      <c r="D668" s="17">
        <f t="shared" si="47"/>
        <v>963895</v>
      </c>
      <c r="E668" s="2">
        <f t="shared" si="43"/>
        <v>0.96389499999999995</v>
      </c>
      <c r="F668" s="13" t="s">
        <v>1087</v>
      </c>
      <c r="G668" s="100" t="s">
        <v>431</v>
      </c>
      <c r="H668" s="20"/>
      <c r="I668" s="21" t="s">
        <v>630</v>
      </c>
      <c r="J668" s="128"/>
    </row>
    <row r="669" spans="1:10">
      <c r="A669" s="8" t="s">
        <v>1080</v>
      </c>
      <c r="B669" s="19">
        <v>447940</v>
      </c>
      <c r="C669" s="19">
        <v>424364</v>
      </c>
      <c r="D669" s="17">
        <f t="shared" si="47"/>
        <v>23576</v>
      </c>
      <c r="E669" s="2">
        <f t="shared" si="43"/>
        <v>5.5556079215013529E-2</v>
      </c>
      <c r="F669" s="13" t="s">
        <v>1088</v>
      </c>
      <c r="G669" s="100" t="s">
        <v>431</v>
      </c>
      <c r="H669" s="20" t="s">
        <v>937</v>
      </c>
      <c r="I669" s="21" t="s">
        <v>831</v>
      </c>
      <c r="J669" s="128"/>
    </row>
    <row r="670" spans="1:10">
      <c r="A670" s="8" t="s">
        <v>1080</v>
      </c>
      <c r="B670" s="19">
        <v>503251</v>
      </c>
      <c r="C670" s="19">
        <v>476764</v>
      </c>
      <c r="D670" s="17">
        <f t="shared" si="47"/>
        <v>26487</v>
      </c>
      <c r="E670" s="2">
        <f t="shared" si="43"/>
        <v>5.5555788608200284E-2</v>
      </c>
      <c r="F670" s="13" t="s">
        <v>1089</v>
      </c>
      <c r="G670" s="100" t="s">
        <v>431</v>
      </c>
      <c r="H670" s="20" t="s">
        <v>937</v>
      </c>
      <c r="I670" s="21"/>
      <c r="J670" s="128"/>
    </row>
    <row r="671" spans="1:10">
      <c r="A671" s="8" t="s">
        <v>1080</v>
      </c>
      <c r="B671" s="19">
        <v>301169</v>
      </c>
      <c r="C671" s="19">
        <v>285318</v>
      </c>
      <c r="D671" s="17">
        <f t="shared" si="47"/>
        <v>15851</v>
      </c>
      <c r="E671" s="2">
        <f t="shared" si="43"/>
        <v>5.5555555555555552E-2</v>
      </c>
      <c r="F671" s="13" t="s">
        <v>1090</v>
      </c>
      <c r="G671" s="100" t="s">
        <v>431</v>
      </c>
      <c r="H671" s="20" t="s">
        <v>937</v>
      </c>
      <c r="I671" s="21"/>
      <c r="J671" s="128"/>
    </row>
    <row r="672" spans="1:10">
      <c r="A672" s="8" t="s">
        <v>1080</v>
      </c>
      <c r="B672" s="19">
        <v>637255</v>
      </c>
      <c r="C672" s="19">
        <v>610903</v>
      </c>
      <c r="D672" s="17">
        <f t="shared" si="47"/>
        <v>26352</v>
      </c>
      <c r="E672" s="2">
        <f t="shared" si="43"/>
        <v>4.3136144363344099E-2</v>
      </c>
      <c r="F672" s="13" t="s">
        <v>1091</v>
      </c>
      <c r="G672" s="100" t="s">
        <v>431</v>
      </c>
      <c r="H672" s="20" t="s">
        <v>937</v>
      </c>
      <c r="I672" s="21"/>
      <c r="J672" s="128"/>
    </row>
    <row r="673" spans="1:10">
      <c r="A673" s="8" t="s">
        <v>1080</v>
      </c>
      <c r="B673" s="19">
        <v>436810</v>
      </c>
      <c r="C673" s="19">
        <v>413820</v>
      </c>
      <c r="D673" s="17">
        <f t="shared" si="47"/>
        <v>22990</v>
      </c>
      <c r="E673" s="2">
        <f t="shared" si="43"/>
        <v>5.5555555555555552E-2</v>
      </c>
      <c r="F673" s="13" t="s">
        <v>1092</v>
      </c>
      <c r="G673" s="100" t="s">
        <v>431</v>
      </c>
      <c r="H673" s="20" t="s">
        <v>937</v>
      </c>
      <c r="I673" s="21"/>
      <c r="J673" s="128"/>
    </row>
    <row r="674" spans="1:10">
      <c r="A674" s="8" t="s">
        <v>1080</v>
      </c>
      <c r="B674" s="19">
        <v>556600</v>
      </c>
      <c r="C674" s="19">
        <v>524656</v>
      </c>
      <c r="D674" s="17">
        <f t="shared" si="47"/>
        <v>31944</v>
      </c>
      <c r="E674" s="2">
        <f t="shared" si="43"/>
        <v>6.0885608856088562E-2</v>
      </c>
      <c r="F674" s="13" t="s">
        <v>1093</v>
      </c>
      <c r="G674" s="100" t="s">
        <v>431</v>
      </c>
      <c r="H674" s="20" t="s">
        <v>937</v>
      </c>
      <c r="I674" s="21"/>
      <c r="J674" s="128"/>
    </row>
    <row r="675" spans="1:10">
      <c r="A675" s="8" t="s">
        <v>1094</v>
      </c>
      <c r="B675" s="19">
        <v>1875680</v>
      </c>
      <c r="C675" s="19">
        <v>1795850</v>
      </c>
      <c r="D675" s="17">
        <f t="shared" si="47"/>
        <v>79830</v>
      </c>
      <c r="E675" s="2">
        <f t="shared" si="43"/>
        <v>4.4452487679928723E-2</v>
      </c>
      <c r="F675" s="13" t="s">
        <v>1095</v>
      </c>
      <c r="G675" s="100" t="s">
        <v>431</v>
      </c>
      <c r="H675" s="20" t="s">
        <v>937</v>
      </c>
      <c r="I675" s="21"/>
      <c r="J675" s="128"/>
    </row>
    <row r="676" spans="1:10">
      <c r="A676" s="8" t="s">
        <v>148</v>
      </c>
      <c r="B676" s="19">
        <v>313814</v>
      </c>
      <c r="C676" s="19">
        <v>297297</v>
      </c>
      <c r="D676" s="17">
        <f t="shared" si="47"/>
        <v>16517</v>
      </c>
      <c r="E676" s="2">
        <f t="shared" si="43"/>
        <v>5.5557237375419191E-2</v>
      </c>
      <c r="F676" s="13" t="s">
        <v>1096</v>
      </c>
      <c r="G676" s="100" t="s">
        <v>431</v>
      </c>
      <c r="H676" s="20" t="s">
        <v>937</v>
      </c>
      <c r="I676" s="21"/>
      <c r="J676" s="128"/>
    </row>
    <row r="677" spans="1:10">
      <c r="A677" s="8" t="s">
        <v>148</v>
      </c>
      <c r="B677" s="19">
        <v>3056727</v>
      </c>
      <c r="C677" s="19">
        <v>2800184</v>
      </c>
      <c r="D677" s="17">
        <f t="shared" si="47"/>
        <v>256543</v>
      </c>
      <c r="E677" s="2">
        <f t="shared" si="43"/>
        <v>9.1616479488490762E-2</v>
      </c>
      <c r="F677" s="13" t="s">
        <v>230</v>
      </c>
      <c r="G677" s="100" t="s">
        <v>431</v>
      </c>
      <c r="H677" s="20" t="s">
        <v>937</v>
      </c>
      <c r="I677" s="21"/>
      <c r="J677" s="128"/>
    </row>
    <row r="678" spans="1:10">
      <c r="A678" s="8" t="s">
        <v>148</v>
      </c>
      <c r="B678" s="19">
        <v>1193853</v>
      </c>
      <c r="C678" s="19">
        <v>1131018</v>
      </c>
      <c r="D678" s="17">
        <f t="shared" si="47"/>
        <v>62835</v>
      </c>
      <c r="E678" s="2">
        <f t="shared" si="43"/>
        <v>5.5556144995039865E-2</v>
      </c>
      <c r="F678" s="13" t="s">
        <v>1097</v>
      </c>
      <c r="G678" s="100" t="s">
        <v>431</v>
      </c>
      <c r="H678" s="20" t="s">
        <v>937</v>
      </c>
      <c r="I678" s="21"/>
      <c r="J678" s="128"/>
    </row>
    <row r="679" spans="1:10">
      <c r="A679" s="8" t="s">
        <v>148</v>
      </c>
      <c r="B679" s="19">
        <v>613144</v>
      </c>
      <c r="C679" s="19">
        <v>580873</v>
      </c>
      <c r="D679" s="17">
        <f t="shared" si="47"/>
        <v>32271</v>
      </c>
      <c r="E679" s="2">
        <f t="shared" si="43"/>
        <v>5.5556033762974008E-2</v>
      </c>
      <c r="F679" s="13" t="s">
        <v>1098</v>
      </c>
      <c r="G679" s="100" t="s">
        <v>431</v>
      </c>
      <c r="H679" s="20" t="s">
        <v>937</v>
      </c>
      <c r="I679" s="21"/>
      <c r="J679" s="128"/>
    </row>
    <row r="680" spans="1:10">
      <c r="A680" s="8" t="s">
        <v>1099</v>
      </c>
      <c r="B680" s="19">
        <v>8000000</v>
      </c>
      <c r="C680" s="19">
        <v>7100000</v>
      </c>
      <c r="D680" s="17">
        <f t="shared" si="47"/>
        <v>900000</v>
      </c>
      <c r="E680" s="2">
        <f t="shared" si="43"/>
        <v>0.12676056338028169</v>
      </c>
      <c r="F680" s="13" t="s">
        <v>1100</v>
      </c>
      <c r="G680" s="100" t="s">
        <v>431</v>
      </c>
      <c r="H680" s="20"/>
      <c r="I680" s="21" t="s">
        <v>1101</v>
      </c>
      <c r="J680" s="128"/>
    </row>
    <row r="681" spans="1:10">
      <c r="A681" s="54" t="s">
        <v>853</v>
      </c>
      <c r="B681" s="55">
        <v>4495000</v>
      </c>
      <c r="C681" s="55">
        <v>4225300</v>
      </c>
      <c r="D681" s="17">
        <f t="shared" si="47"/>
        <v>269700</v>
      </c>
      <c r="E681" s="2">
        <f t="shared" si="43"/>
        <v>6.3829787234042548E-2</v>
      </c>
      <c r="F681" s="13" t="s">
        <v>1102</v>
      </c>
      <c r="G681" s="100" t="s">
        <v>431</v>
      </c>
      <c r="H681" s="20" t="s">
        <v>937</v>
      </c>
      <c r="I681" s="21" t="s">
        <v>831</v>
      </c>
      <c r="J681" s="128"/>
    </row>
    <row r="682" spans="1:10">
      <c r="A682" s="54" t="s">
        <v>1103</v>
      </c>
      <c r="B682" s="55">
        <v>2749000</v>
      </c>
      <c r="C682" s="55">
        <v>2620000</v>
      </c>
      <c r="D682" s="17">
        <f t="shared" si="47"/>
        <v>129000</v>
      </c>
      <c r="E682" s="2">
        <f t="shared" si="43"/>
        <v>4.9236641221374049E-2</v>
      </c>
      <c r="F682" s="13" t="s">
        <v>1104</v>
      </c>
      <c r="G682" s="100" t="s">
        <v>431</v>
      </c>
      <c r="H682" s="20" t="s">
        <v>937</v>
      </c>
      <c r="I682" s="21" t="s">
        <v>831</v>
      </c>
      <c r="J682" s="128"/>
    </row>
    <row r="683" spans="1:10">
      <c r="A683" s="54" t="s">
        <v>438</v>
      </c>
      <c r="B683" s="55">
        <v>549670</v>
      </c>
      <c r="C683" s="55">
        <v>524815</v>
      </c>
      <c r="D683" s="17">
        <f t="shared" si="47"/>
        <v>24855</v>
      </c>
      <c r="E683" s="2">
        <f t="shared" si="43"/>
        <v>4.7359545744690985E-2</v>
      </c>
      <c r="F683" s="13" t="s">
        <v>1105</v>
      </c>
      <c r="G683" s="100" t="s">
        <v>431</v>
      </c>
      <c r="H683" s="20" t="s">
        <v>937</v>
      </c>
      <c r="I683" s="21" t="s">
        <v>831</v>
      </c>
      <c r="J683" s="128"/>
    </row>
    <row r="684" spans="1:10">
      <c r="A684" s="54" t="s">
        <v>485</v>
      </c>
      <c r="B684" s="55">
        <v>1100000</v>
      </c>
      <c r="C684" s="55">
        <v>1030000</v>
      </c>
      <c r="D684" s="17">
        <f t="shared" si="47"/>
        <v>70000</v>
      </c>
      <c r="E684" s="2">
        <f t="shared" si="43"/>
        <v>6.7961165048543687E-2</v>
      </c>
      <c r="F684" s="13" t="s">
        <v>1106</v>
      </c>
      <c r="G684" s="100" t="s">
        <v>431</v>
      </c>
      <c r="H684" s="20" t="s">
        <v>937</v>
      </c>
      <c r="I684" s="21" t="s">
        <v>831</v>
      </c>
      <c r="J684" s="128"/>
    </row>
    <row r="685" spans="1:10">
      <c r="A685" s="54" t="s">
        <v>1103</v>
      </c>
      <c r="B685" s="55">
        <v>996000</v>
      </c>
      <c r="C685" s="55">
        <v>910000</v>
      </c>
      <c r="D685" s="17">
        <f t="shared" si="47"/>
        <v>86000</v>
      </c>
      <c r="E685" s="2">
        <f t="shared" si="43"/>
        <v>9.4505494505494503E-2</v>
      </c>
      <c r="F685" s="13" t="s">
        <v>1107</v>
      </c>
      <c r="G685" s="100" t="s">
        <v>431</v>
      </c>
      <c r="H685" s="20" t="s">
        <v>937</v>
      </c>
      <c r="I685" s="21" t="s">
        <v>831</v>
      </c>
      <c r="J685" s="128"/>
    </row>
    <row r="686" spans="1:10">
      <c r="A686" s="8" t="s">
        <v>858</v>
      </c>
      <c r="B686" s="19">
        <v>6464700</v>
      </c>
      <c r="C686" s="19">
        <v>5815300</v>
      </c>
      <c r="D686" s="17">
        <f t="shared" si="47"/>
        <v>649400</v>
      </c>
      <c r="E686" s="2">
        <f t="shared" si="43"/>
        <v>0.11167093701098825</v>
      </c>
      <c r="F686" s="13" t="s">
        <v>1108</v>
      </c>
      <c r="G686" s="100" t="s">
        <v>431</v>
      </c>
      <c r="H686" s="20"/>
      <c r="I686" s="21" t="s">
        <v>1109</v>
      </c>
      <c r="J686" s="128"/>
    </row>
    <row r="687" spans="1:10">
      <c r="A687" s="8" t="s">
        <v>1103</v>
      </c>
      <c r="B687" s="19">
        <v>1830000</v>
      </c>
      <c r="C687" s="19">
        <v>1740000</v>
      </c>
      <c r="D687" s="17">
        <f t="shared" si="47"/>
        <v>90000</v>
      </c>
      <c r="E687" s="2">
        <f t="shared" si="43"/>
        <v>5.1724137931034482E-2</v>
      </c>
      <c r="F687" s="13" t="s">
        <v>1110</v>
      </c>
      <c r="G687" s="100" t="s">
        <v>431</v>
      </c>
      <c r="H687" s="20" t="s">
        <v>937</v>
      </c>
      <c r="I687" s="21" t="s">
        <v>831</v>
      </c>
      <c r="J687" s="128"/>
    </row>
    <row r="688" spans="1:10">
      <c r="A688" s="8" t="s">
        <v>853</v>
      </c>
      <c r="B688" s="19">
        <v>2989000</v>
      </c>
      <c r="C688" s="19">
        <v>2809660</v>
      </c>
      <c r="D688" s="17">
        <f t="shared" si="47"/>
        <v>179340</v>
      </c>
      <c r="E688" s="2">
        <f t="shared" si="43"/>
        <v>6.3829787234042548E-2</v>
      </c>
      <c r="F688" s="13" t="s">
        <v>1111</v>
      </c>
      <c r="G688" s="100" t="s">
        <v>431</v>
      </c>
      <c r="H688" s="20" t="s">
        <v>937</v>
      </c>
      <c r="I688" s="21" t="s">
        <v>831</v>
      </c>
      <c r="J688" s="128"/>
    </row>
    <row r="689" spans="1:10">
      <c r="A689" s="8" t="s">
        <v>485</v>
      </c>
      <c r="B689" s="19">
        <v>836000</v>
      </c>
      <c r="C689" s="19">
        <v>780000</v>
      </c>
      <c r="D689" s="17">
        <f t="shared" si="47"/>
        <v>56000</v>
      </c>
      <c r="E689" s="2">
        <f t="shared" si="43"/>
        <v>7.179487179487179E-2</v>
      </c>
      <c r="F689" s="13" t="s">
        <v>1112</v>
      </c>
      <c r="G689" s="100" t="s">
        <v>431</v>
      </c>
      <c r="H689" s="20" t="s">
        <v>937</v>
      </c>
      <c r="I689" s="21" t="s">
        <v>831</v>
      </c>
      <c r="J689" s="128"/>
    </row>
    <row r="690" spans="1:10">
      <c r="A690" s="8" t="s">
        <v>174</v>
      </c>
      <c r="B690" s="19">
        <v>6117100</v>
      </c>
      <c r="C690" s="19">
        <v>5810600</v>
      </c>
      <c r="D690" s="17">
        <f t="shared" si="47"/>
        <v>306500</v>
      </c>
      <c r="E690" s="2">
        <f t="shared" si="43"/>
        <v>5.2748425291708256E-2</v>
      </c>
      <c r="F690" s="13" t="s">
        <v>1113</v>
      </c>
      <c r="G690" s="100" t="s">
        <v>431</v>
      </c>
      <c r="H690" s="20"/>
      <c r="I690" s="21"/>
      <c r="J690" s="128"/>
    </row>
    <row r="691" spans="1:10">
      <c r="A691" s="8" t="s">
        <v>1114</v>
      </c>
      <c r="B691" s="19">
        <v>5324000</v>
      </c>
      <c r="C691" s="19">
        <v>4844000</v>
      </c>
      <c r="D691" s="17">
        <f t="shared" si="47"/>
        <v>480000</v>
      </c>
      <c r="E691" s="2">
        <f t="shared" si="43"/>
        <v>9.9091659785301406E-2</v>
      </c>
      <c r="F691" s="13" t="s">
        <v>1115</v>
      </c>
      <c r="G691" s="100" t="s">
        <v>431</v>
      </c>
      <c r="H691" s="20"/>
      <c r="I691" s="21" t="s">
        <v>1116</v>
      </c>
      <c r="J691" s="128"/>
    </row>
    <row r="692" spans="1:10">
      <c r="A692" s="54" t="s">
        <v>1117</v>
      </c>
      <c r="B692" s="55">
        <v>3200000</v>
      </c>
      <c r="C692" s="55">
        <v>2500000</v>
      </c>
      <c r="D692" s="17">
        <f t="shared" si="47"/>
        <v>700000</v>
      </c>
      <c r="E692" s="2">
        <f t="shared" si="43"/>
        <v>0.28000000000000003</v>
      </c>
      <c r="F692" s="13" t="s">
        <v>1118</v>
      </c>
      <c r="G692" s="100" t="s">
        <v>431</v>
      </c>
      <c r="H692" s="20"/>
      <c r="I692" s="21" t="s">
        <v>391</v>
      </c>
      <c r="J692" s="128"/>
    </row>
    <row r="693" spans="1:10">
      <c r="A693" s="60" t="s">
        <v>614</v>
      </c>
      <c r="B693" s="67">
        <v>1950000</v>
      </c>
      <c r="C693" s="68">
        <v>1755000</v>
      </c>
      <c r="D693" s="27">
        <f t="shared" si="47"/>
        <v>195000</v>
      </c>
      <c r="E693" s="62">
        <f t="shared" si="43"/>
        <v>0.1111111111111111</v>
      </c>
      <c r="F693" s="13" t="s">
        <v>1119</v>
      </c>
      <c r="G693" s="100" t="s">
        <v>431</v>
      </c>
      <c r="H693" s="20"/>
      <c r="I693" s="21"/>
      <c r="J693" s="128"/>
    </row>
    <row r="694" spans="1:10">
      <c r="A694" s="54" t="s">
        <v>438</v>
      </c>
      <c r="B694" s="67">
        <v>462000</v>
      </c>
      <c r="C694" s="68">
        <v>420000</v>
      </c>
      <c r="D694" s="27">
        <f t="shared" si="47"/>
        <v>42000</v>
      </c>
      <c r="E694" s="62">
        <f t="shared" si="43"/>
        <v>0.1</v>
      </c>
      <c r="F694" s="13" t="s">
        <v>1120</v>
      </c>
      <c r="G694" s="100" t="s">
        <v>431</v>
      </c>
      <c r="H694" s="20"/>
      <c r="I694" s="21"/>
      <c r="J694" s="128"/>
    </row>
    <row r="695" spans="1:10">
      <c r="A695" s="54" t="s">
        <v>438</v>
      </c>
      <c r="B695" s="67">
        <v>577160</v>
      </c>
      <c r="C695" s="68">
        <v>546782</v>
      </c>
      <c r="D695" s="27">
        <f t="shared" si="47"/>
        <v>30378</v>
      </c>
      <c r="E695" s="62">
        <f t="shared" si="43"/>
        <v>5.5557790856319338E-2</v>
      </c>
      <c r="F695" s="13" t="s">
        <v>1121</v>
      </c>
      <c r="G695" s="100" t="s">
        <v>431</v>
      </c>
      <c r="H695" s="20"/>
      <c r="I695" s="21"/>
      <c r="J695" s="128"/>
    </row>
    <row r="696" spans="1:10">
      <c r="A696" s="8" t="s">
        <v>1122</v>
      </c>
      <c r="B696" s="19">
        <v>8005000</v>
      </c>
      <c r="C696" s="19">
        <v>7055000</v>
      </c>
      <c r="D696" s="17">
        <f t="shared" si="47"/>
        <v>950000</v>
      </c>
      <c r="E696" s="2">
        <f t="shared" si="43"/>
        <v>0.13465627214741319</v>
      </c>
      <c r="F696" s="13" t="s">
        <v>1123</v>
      </c>
      <c r="G696" s="100" t="s">
        <v>431</v>
      </c>
      <c r="H696" s="20" t="s">
        <v>1124</v>
      </c>
      <c r="I696" s="21" t="s">
        <v>1125</v>
      </c>
      <c r="J696" s="128"/>
    </row>
    <row r="697" spans="1:10">
      <c r="A697" s="66" t="s">
        <v>438</v>
      </c>
      <c r="B697" s="61">
        <v>1736495</v>
      </c>
      <c r="C697" s="61">
        <v>1645060</v>
      </c>
      <c r="D697" s="35">
        <f t="shared" si="47"/>
        <v>91435</v>
      </c>
      <c r="E697" s="2">
        <f t="shared" si="43"/>
        <v>5.5581559335221818E-2</v>
      </c>
      <c r="F697" s="13" t="s">
        <v>1126</v>
      </c>
      <c r="G697" s="100" t="s">
        <v>431</v>
      </c>
      <c r="H697" s="20" t="s">
        <v>440</v>
      </c>
      <c r="I697" s="21" t="s">
        <v>831</v>
      </c>
      <c r="J697" s="128"/>
    </row>
    <row r="698" spans="1:10">
      <c r="A698" s="8" t="s">
        <v>1127</v>
      </c>
      <c r="B698" s="19">
        <v>3744983</v>
      </c>
      <c r="C698" s="19">
        <v>3557734</v>
      </c>
      <c r="D698" s="17">
        <f t="shared" si="47"/>
        <v>187249</v>
      </c>
      <c r="E698" s="2">
        <f t="shared" si="43"/>
        <v>5.2631534566665188E-2</v>
      </c>
      <c r="F698" s="13" t="s">
        <v>1128</v>
      </c>
      <c r="G698" s="100" t="s">
        <v>431</v>
      </c>
      <c r="H698" s="20"/>
      <c r="I698" s="21"/>
      <c r="J698" s="128"/>
    </row>
    <row r="699" spans="1:10">
      <c r="A699" s="8" t="s">
        <v>1129</v>
      </c>
      <c r="B699" s="19">
        <v>1455600</v>
      </c>
      <c r="C699" s="19">
        <v>1370000</v>
      </c>
      <c r="D699" s="17">
        <f t="shared" si="47"/>
        <v>85600</v>
      </c>
      <c r="E699" s="2">
        <f t="shared" si="43"/>
        <v>6.2481751824817515E-2</v>
      </c>
      <c r="F699" s="13" t="s">
        <v>1130</v>
      </c>
      <c r="G699" s="100" t="s">
        <v>431</v>
      </c>
      <c r="H699" s="20" t="s">
        <v>440</v>
      </c>
      <c r="I699" s="21" t="s">
        <v>831</v>
      </c>
      <c r="J699" s="128"/>
    </row>
    <row r="700" spans="1:10">
      <c r="A700" s="8" t="s">
        <v>438</v>
      </c>
      <c r="B700" s="19">
        <v>103455</v>
      </c>
      <c r="C700" s="19">
        <v>98010</v>
      </c>
      <c r="D700" s="17">
        <f t="shared" si="47"/>
        <v>5445</v>
      </c>
      <c r="E700" s="2">
        <f t="shared" si="43"/>
        <v>5.5555555555555552E-2</v>
      </c>
      <c r="F700" s="13" t="s">
        <v>1131</v>
      </c>
      <c r="G700" s="100" t="s">
        <v>431</v>
      </c>
      <c r="H700" s="20" t="s">
        <v>440</v>
      </c>
      <c r="I700" s="21" t="s">
        <v>831</v>
      </c>
      <c r="J700" s="128"/>
    </row>
    <row r="701" spans="1:10">
      <c r="A701" s="8" t="s">
        <v>783</v>
      </c>
      <c r="B701" s="19">
        <v>324159</v>
      </c>
      <c r="C701" s="19">
        <v>307098</v>
      </c>
      <c r="D701" s="17">
        <f t="shared" si="47"/>
        <v>17061</v>
      </c>
      <c r="E701" s="2">
        <f t="shared" si="43"/>
        <v>5.5555555555555552E-2</v>
      </c>
      <c r="F701" s="13" t="s">
        <v>1132</v>
      </c>
      <c r="G701" s="100" t="s">
        <v>431</v>
      </c>
      <c r="H701" s="20" t="s">
        <v>937</v>
      </c>
      <c r="I701" s="21" t="s">
        <v>828</v>
      </c>
      <c r="J701" s="128"/>
    </row>
    <row r="702" spans="1:10">
      <c r="A702" s="8" t="s">
        <v>438</v>
      </c>
      <c r="B702" s="19">
        <v>262086</v>
      </c>
      <c r="C702" s="19">
        <v>248292</v>
      </c>
      <c r="D702" s="17">
        <f t="shared" si="47"/>
        <v>13794</v>
      </c>
      <c r="E702" s="2">
        <f t="shared" si="43"/>
        <v>5.5555555555555552E-2</v>
      </c>
      <c r="F702" s="13" t="s">
        <v>1133</v>
      </c>
      <c r="G702" s="100" t="s">
        <v>431</v>
      </c>
      <c r="H702" s="20" t="s">
        <v>440</v>
      </c>
      <c r="I702" s="21" t="s">
        <v>831</v>
      </c>
      <c r="J702" s="128"/>
    </row>
    <row r="703" spans="1:10">
      <c r="A703" s="8" t="s">
        <v>783</v>
      </c>
      <c r="B703" s="19">
        <v>486000</v>
      </c>
      <c r="C703" s="19">
        <v>461700</v>
      </c>
      <c r="D703" s="17">
        <f t="shared" si="47"/>
        <v>24300</v>
      </c>
      <c r="E703" s="2">
        <f t="shared" si="43"/>
        <v>5.2631578947368418E-2</v>
      </c>
      <c r="F703" s="13" t="s">
        <v>1134</v>
      </c>
      <c r="G703" s="100" t="s">
        <v>431</v>
      </c>
      <c r="H703" s="20" t="s">
        <v>937</v>
      </c>
      <c r="I703" s="21" t="s">
        <v>828</v>
      </c>
      <c r="J703" s="128"/>
    </row>
    <row r="704" spans="1:10">
      <c r="A704" s="8" t="s">
        <v>438</v>
      </c>
      <c r="B704" s="19">
        <v>781400</v>
      </c>
      <c r="C704" s="19">
        <v>680590</v>
      </c>
      <c r="D704" s="17">
        <f t="shared" si="47"/>
        <v>100810</v>
      </c>
      <c r="E704" s="2">
        <f t="shared" si="43"/>
        <v>0.14812148283107304</v>
      </c>
      <c r="F704" s="13" t="s">
        <v>1135</v>
      </c>
      <c r="G704" s="100" t="s">
        <v>431</v>
      </c>
      <c r="H704" s="20" t="s">
        <v>440</v>
      </c>
      <c r="I704" s="21" t="s">
        <v>831</v>
      </c>
      <c r="J704" s="128"/>
    </row>
    <row r="705" spans="1:10">
      <c r="A705" s="8" t="s">
        <v>1136</v>
      </c>
      <c r="B705" s="19">
        <v>4080000</v>
      </c>
      <c r="C705" s="19">
        <v>3740000</v>
      </c>
      <c r="D705" s="17">
        <f t="shared" si="47"/>
        <v>340000</v>
      </c>
      <c r="E705" s="2">
        <f t="shared" si="43"/>
        <v>9.0909090909090912E-2</v>
      </c>
      <c r="F705" s="13" t="s">
        <v>1137</v>
      </c>
      <c r="G705" s="100" t="s">
        <v>431</v>
      </c>
      <c r="H705" s="20" t="s">
        <v>440</v>
      </c>
      <c r="I705" s="21" t="s">
        <v>831</v>
      </c>
      <c r="J705" s="128"/>
    </row>
    <row r="706" spans="1:10">
      <c r="A706" t="s">
        <v>875</v>
      </c>
      <c r="B706" s="25">
        <v>700046</v>
      </c>
      <c r="C706" s="25">
        <v>663201</v>
      </c>
      <c r="D706" s="25">
        <f>B706-C706</f>
        <v>36845</v>
      </c>
      <c r="E706" s="62">
        <f t="shared" si="43"/>
        <v>5.555630947480477E-2</v>
      </c>
      <c r="F706" s="13"/>
      <c r="G706" s="100" t="s">
        <v>431</v>
      </c>
      <c r="H706" s="20" t="s">
        <v>391</v>
      </c>
      <c r="I706" s="21"/>
      <c r="J706" s="128"/>
    </row>
    <row r="707" spans="1:10">
      <c r="A707" s="54" t="s">
        <v>776</v>
      </c>
      <c r="B707" s="55">
        <v>2044152</v>
      </c>
      <c r="C707" s="55">
        <v>1839736.8</v>
      </c>
      <c r="D707" s="17">
        <f t="shared" ref="D707:D723" si="48">B707-C707</f>
        <v>204415.19999999995</v>
      </c>
      <c r="E707" s="69">
        <f t="shared" si="43"/>
        <v>0.11111111111111108</v>
      </c>
      <c r="F707" s="13"/>
      <c r="G707" s="100" t="s">
        <v>431</v>
      </c>
      <c r="H707" s="20" t="s">
        <v>391</v>
      </c>
      <c r="I707" s="21"/>
      <c r="J707" s="128"/>
    </row>
    <row r="708" spans="1:10">
      <c r="A708" s="54" t="s">
        <v>776</v>
      </c>
      <c r="B708" s="55">
        <v>3177675</v>
      </c>
      <c r="C708" s="55">
        <v>2859907.5</v>
      </c>
      <c r="D708" s="17">
        <f t="shared" si="48"/>
        <v>317767.5</v>
      </c>
      <c r="E708" s="69">
        <f t="shared" si="43"/>
        <v>0.1111111111111111</v>
      </c>
      <c r="F708" s="13"/>
      <c r="G708" s="100" t="s">
        <v>431</v>
      </c>
      <c r="H708" s="20" t="s">
        <v>391</v>
      </c>
      <c r="I708" s="21"/>
      <c r="J708" s="128"/>
    </row>
    <row r="709" spans="1:10">
      <c r="A709" s="54" t="s">
        <v>776</v>
      </c>
      <c r="B709" s="55">
        <v>1290000</v>
      </c>
      <c r="C709" s="55">
        <v>1161000</v>
      </c>
      <c r="D709" s="17">
        <f t="shared" si="48"/>
        <v>129000</v>
      </c>
      <c r="E709" s="69">
        <f t="shared" si="43"/>
        <v>0.1111111111111111</v>
      </c>
      <c r="F709" s="13"/>
      <c r="G709" s="100" t="s">
        <v>431</v>
      </c>
      <c r="H709" s="20" t="s">
        <v>391</v>
      </c>
      <c r="I709" s="21"/>
      <c r="J709" s="128"/>
    </row>
    <row r="710" spans="1:10">
      <c r="A710" s="54" t="s">
        <v>776</v>
      </c>
      <c r="B710" s="55">
        <v>605937.30000000005</v>
      </c>
      <c r="C710" s="55">
        <v>545343.56999999995</v>
      </c>
      <c r="D710" s="17">
        <f t="shared" si="48"/>
        <v>60593.730000000098</v>
      </c>
      <c r="E710" s="69">
        <f t="shared" si="43"/>
        <v>0.1111111111111113</v>
      </c>
      <c r="F710" s="13"/>
      <c r="G710" s="100" t="s">
        <v>431</v>
      </c>
      <c r="H710" s="20" t="s">
        <v>391</v>
      </c>
      <c r="I710" s="21"/>
      <c r="J710" s="128"/>
    </row>
    <row r="711" spans="1:10">
      <c r="A711" s="54" t="s">
        <v>776</v>
      </c>
      <c r="B711" s="61">
        <v>675826.5</v>
      </c>
      <c r="C711" s="61">
        <v>608243.85</v>
      </c>
      <c r="D711" s="17">
        <f t="shared" si="48"/>
        <v>67582.650000000023</v>
      </c>
      <c r="E711" s="69">
        <f t="shared" si="43"/>
        <v>0.11111111111111116</v>
      </c>
      <c r="F711" s="13"/>
      <c r="G711" s="100" t="s">
        <v>431</v>
      </c>
      <c r="H711" s="20" t="s">
        <v>391</v>
      </c>
      <c r="I711" s="21"/>
      <c r="J711" s="128"/>
    </row>
    <row r="712" spans="1:10">
      <c r="A712" s="54" t="s">
        <v>776</v>
      </c>
      <c r="B712" s="55">
        <v>323314.15999999997</v>
      </c>
      <c r="C712" s="55">
        <v>290982.75</v>
      </c>
      <c r="D712" s="17">
        <f t="shared" si="48"/>
        <v>32331.409999999974</v>
      </c>
      <c r="E712" s="69">
        <f t="shared" si="43"/>
        <v>0.11111108820024546</v>
      </c>
      <c r="F712" s="13"/>
      <c r="G712" s="100" t="s">
        <v>431</v>
      </c>
      <c r="H712" s="20" t="s">
        <v>391</v>
      </c>
      <c r="I712" s="21"/>
      <c r="J712" s="128"/>
    </row>
    <row r="713" spans="1:10">
      <c r="A713" s="54" t="s">
        <v>776</v>
      </c>
      <c r="B713" s="55">
        <v>3179546</v>
      </c>
      <c r="C713" s="55">
        <v>2828429.1</v>
      </c>
      <c r="D713" s="17">
        <f t="shared" si="48"/>
        <v>351116.89999999991</v>
      </c>
      <c r="E713" s="69">
        <f t="shared" si="43"/>
        <v>0.12413848379653565</v>
      </c>
      <c r="F713" s="13"/>
      <c r="G713" s="100" t="s">
        <v>431</v>
      </c>
      <c r="H713" s="20" t="s">
        <v>391</v>
      </c>
      <c r="I713" s="21"/>
      <c r="J713" s="128"/>
    </row>
    <row r="714" spans="1:10">
      <c r="A714" s="54" t="s">
        <v>776</v>
      </c>
      <c r="B714" s="55">
        <v>344990</v>
      </c>
      <c r="C714" s="55">
        <v>276944.40000000002</v>
      </c>
      <c r="D714" s="17">
        <f t="shared" si="48"/>
        <v>68045.599999999977</v>
      </c>
      <c r="E714" s="69">
        <f t="shared" si="43"/>
        <v>0.24570130322187403</v>
      </c>
      <c r="F714" s="13"/>
      <c r="G714" s="100" t="s">
        <v>431</v>
      </c>
      <c r="H714" s="20" t="s">
        <v>391</v>
      </c>
      <c r="I714" s="21"/>
      <c r="J714" s="128"/>
    </row>
    <row r="715" spans="1:10">
      <c r="A715" s="54" t="s">
        <v>776</v>
      </c>
      <c r="B715" s="61">
        <v>682104</v>
      </c>
      <c r="C715" s="61">
        <v>506685.6</v>
      </c>
      <c r="D715" s="17">
        <f t="shared" si="48"/>
        <v>175418.40000000002</v>
      </c>
      <c r="E715" s="69">
        <f t="shared" si="43"/>
        <v>0.34620758908482901</v>
      </c>
      <c r="F715" s="13"/>
      <c r="G715" s="100" t="s">
        <v>431</v>
      </c>
      <c r="H715" s="20" t="s">
        <v>391</v>
      </c>
      <c r="I715" s="21"/>
      <c r="J715" s="128"/>
    </row>
    <row r="716" spans="1:10">
      <c r="A716" s="54" t="s">
        <v>776</v>
      </c>
      <c r="B716" s="55">
        <v>1959583</v>
      </c>
      <c r="C716" s="55">
        <v>1751312.7</v>
      </c>
      <c r="D716" s="17">
        <f t="shared" si="48"/>
        <v>208270.30000000005</v>
      </c>
      <c r="E716" s="69">
        <f t="shared" si="43"/>
        <v>0.11892239461290953</v>
      </c>
      <c r="F716" s="13"/>
      <c r="G716" s="100" t="s">
        <v>431</v>
      </c>
      <c r="H716" s="20" t="s">
        <v>391</v>
      </c>
      <c r="I716" s="21"/>
      <c r="J716" s="128"/>
    </row>
    <row r="717" spans="1:10">
      <c r="A717" s="54" t="s">
        <v>80</v>
      </c>
      <c r="B717" s="55">
        <v>31969900</v>
      </c>
      <c r="C717" s="55">
        <v>29732007</v>
      </c>
      <c r="D717" s="17">
        <f t="shared" si="48"/>
        <v>2237893</v>
      </c>
      <c r="E717" s="69">
        <f t="shared" ref="E717:E723" si="49">(B717-C717)/C717</f>
        <v>7.5268817204301078E-2</v>
      </c>
      <c r="F717" s="13" t="s">
        <v>1138</v>
      </c>
      <c r="G717" s="100" t="s">
        <v>431</v>
      </c>
      <c r="H717" s="20" t="s">
        <v>21</v>
      </c>
      <c r="I717" s="21"/>
      <c r="J717" s="128"/>
    </row>
    <row r="718" spans="1:10">
      <c r="A718" s="54" t="s">
        <v>776</v>
      </c>
      <c r="B718" s="55">
        <v>4841148</v>
      </c>
      <c r="C718" s="55">
        <v>4357033.2</v>
      </c>
      <c r="D718" s="17">
        <f t="shared" si="48"/>
        <v>484114.79999999981</v>
      </c>
      <c r="E718" s="69">
        <f t="shared" si="49"/>
        <v>0.11111111111111106</v>
      </c>
      <c r="F718" s="13" t="s">
        <v>1139</v>
      </c>
      <c r="G718" s="100" t="s">
        <v>431</v>
      </c>
      <c r="H718" s="20" t="s">
        <v>391</v>
      </c>
      <c r="I718" s="21" t="s">
        <v>1140</v>
      </c>
      <c r="J718" s="129"/>
    </row>
    <row r="719" spans="1:10">
      <c r="A719" s="136" t="s">
        <v>1141</v>
      </c>
      <c r="B719" s="136"/>
      <c r="C719" s="136"/>
      <c r="D719" s="136"/>
      <c r="E719" s="136"/>
      <c r="F719" s="136"/>
      <c r="G719" s="136"/>
      <c r="H719" s="136"/>
      <c r="I719" s="136"/>
      <c r="J719" s="137"/>
    </row>
    <row r="720" spans="1:10">
      <c r="A720" s="54" t="s">
        <v>438</v>
      </c>
      <c r="B720" s="55">
        <v>488392</v>
      </c>
      <c r="C720" s="55">
        <v>464095</v>
      </c>
      <c r="D720" s="27">
        <f t="shared" si="48"/>
        <v>24297</v>
      </c>
      <c r="E720" s="70">
        <f t="shared" si="49"/>
        <v>5.2353505209062796E-2</v>
      </c>
      <c r="F720" s="13" t="s">
        <v>1142</v>
      </c>
      <c r="G720" s="100" t="s">
        <v>475</v>
      </c>
      <c r="H720" s="20" t="s">
        <v>440</v>
      </c>
      <c r="I720" s="32" t="s">
        <v>831</v>
      </c>
      <c r="J720" s="127">
        <f>SUM(D720:D736)</f>
        <v>6228691.2000000002</v>
      </c>
    </row>
    <row r="721" spans="1:10">
      <c r="A721" s="54" t="s">
        <v>438</v>
      </c>
      <c r="B721" s="55">
        <v>628547</v>
      </c>
      <c r="C721" s="55">
        <v>595465</v>
      </c>
      <c r="D721" s="27">
        <f t="shared" si="48"/>
        <v>33082</v>
      </c>
      <c r="E721" s="70">
        <f t="shared" si="49"/>
        <v>5.5556581831006022E-2</v>
      </c>
      <c r="F721" s="13" t="s">
        <v>1143</v>
      </c>
      <c r="G721" s="100" t="s">
        <v>475</v>
      </c>
      <c r="H721" s="20" t="s">
        <v>440</v>
      </c>
      <c r="I721" s="32"/>
      <c r="J721" s="128"/>
    </row>
    <row r="722" spans="1:10">
      <c r="A722" s="54" t="s">
        <v>870</v>
      </c>
      <c r="B722" s="55">
        <v>3620500</v>
      </c>
      <c r="C722" s="55">
        <v>3403270</v>
      </c>
      <c r="D722" s="27">
        <f t="shared" si="48"/>
        <v>217230</v>
      </c>
      <c r="E722" s="70">
        <f t="shared" si="49"/>
        <v>6.3829787234042548E-2</v>
      </c>
      <c r="F722" s="13" t="s">
        <v>1144</v>
      </c>
      <c r="G722" s="100" t="s">
        <v>475</v>
      </c>
      <c r="H722" s="20" t="s">
        <v>440</v>
      </c>
      <c r="I722" s="32" t="s">
        <v>831</v>
      </c>
      <c r="J722" s="128"/>
    </row>
    <row r="723" spans="1:10">
      <c r="A723" s="54" t="s">
        <v>870</v>
      </c>
      <c r="B723" s="55">
        <v>2430000</v>
      </c>
      <c r="C723" s="55">
        <v>2284200</v>
      </c>
      <c r="D723" s="27">
        <f t="shared" si="48"/>
        <v>145800</v>
      </c>
      <c r="E723" s="70">
        <f t="shared" si="49"/>
        <v>6.3829787234042548E-2</v>
      </c>
      <c r="F723" s="13" t="s">
        <v>1145</v>
      </c>
      <c r="G723" s="100" t="s">
        <v>475</v>
      </c>
      <c r="H723" s="20" t="s">
        <v>440</v>
      </c>
      <c r="I723" s="32" t="s">
        <v>831</v>
      </c>
      <c r="J723" s="128"/>
    </row>
    <row r="724" spans="1:10">
      <c r="A724" s="7" t="s">
        <v>877</v>
      </c>
      <c r="B724" s="17">
        <v>2830000</v>
      </c>
      <c r="C724" s="17">
        <v>2550000</v>
      </c>
      <c r="D724" s="17">
        <f t="shared" ref="D724:D783" si="50">B724-C724</f>
        <v>280000</v>
      </c>
      <c r="E724" s="2">
        <f t="shared" ref="E724:E781" si="51">(B724-C724)/C724</f>
        <v>0.10980392156862745</v>
      </c>
      <c r="F724" s="13" t="s">
        <v>1146</v>
      </c>
      <c r="G724" s="100" t="s">
        <v>475</v>
      </c>
      <c r="H724" s="20" t="s">
        <v>440</v>
      </c>
      <c r="I724" s="32" t="s">
        <v>831</v>
      </c>
      <c r="J724" s="128"/>
    </row>
    <row r="725" spans="1:10">
      <c r="A725" s="8" t="s">
        <v>877</v>
      </c>
      <c r="B725" s="19">
        <v>11900000</v>
      </c>
      <c r="C725" s="19">
        <v>11200000</v>
      </c>
      <c r="D725" s="17">
        <f t="shared" si="50"/>
        <v>700000</v>
      </c>
      <c r="E725" s="2">
        <f t="shared" si="51"/>
        <v>6.25E-2</v>
      </c>
      <c r="F725" s="13" t="s">
        <v>1147</v>
      </c>
      <c r="G725" s="100" t="s">
        <v>475</v>
      </c>
      <c r="H725" s="20" t="s">
        <v>440</v>
      </c>
      <c r="I725" s="32" t="s">
        <v>831</v>
      </c>
      <c r="J725" s="128"/>
    </row>
    <row r="726" spans="1:10">
      <c r="A726" s="8" t="s">
        <v>877</v>
      </c>
      <c r="B726" s="19">
        <v>13800000</v>
      </c>
      <c r="C726" s="19">
        <v>13000000</v>
      </c>
      <c r="D726" s="17">
        <f t="shared" si="50"/>
        <v>800000</v>
      </c>
      <c r="E726" s="2">
        <f t="shared" si="51"/>
        <v>6.1538461538461542E-2</v>
      </c>
      <c r="F726" s="13" t="s">
        <v>1148</v>
      </c>
      <c r="G726" s="100" t="s">
        <v>475</v>
      </c>
      <c r="H726" s="20" t="s">
        <v>440</v>
      </c>
      <c r="I726" s="32" t="s">
        <v>831</v>
      </c>
      <c r="J726" s="128"/>
    </row>
    <row r="727" spans="1:10">
      <c r="A727" s="8" t="s">
        <v>877</v>
      </c>
      <c r="B727" s="19">
        <v>8050000</v>
      </c>
      <c r="C727" s="19">
        <v>7600000</v>
      </c>
      <c r="D727" s="17">
        <f t="shared" si="50"/>
        <v>450000</v>
      </c>
      <c r="E727" s="2">
        <f t="shared" si="51"/>
        <v>5.921052631578947E-2</v>
      </c>
      <c r="F727" s="13" t="s">
        <v>1149</v>
      </c>
      <c r="G727" s="100" t="s">
        <v>475</v>
      </c>
      <c r="H727" s="20" t="s">
        <v>440</v>
      </c>
      <c r="I727" s="32" t="s">
        <v>831</v>
      </c>
      <c r="J727" s="128"/>
    </row>
    <row r="728" spans="1:10">
      <c r="A728" s="8" t="s">
        <v>877</v>
      </c>
      <c r="B728" s="67">
        <v>3010000</v>
      </c>
      <c r="C728" s="68">
        <v>2740000</v>
      </c>
      <c r="D728" s="27">
        <f t="shared" si="50"/>
        <v>270000</v>
      </c>
      <c r="E728" s="2">
        <f t="shared" si="51"/>
        <v>9.8540145985401464E-2</v>
      </c>
      <c r="F728" s="13" t="s">
        <v>1150</v>
      </c>
      <c r="G728" s="100" t="s">
        <v>475</v>
      </c>
      <c r="H728" s="20" t="s">
        <v>440</v>
      </c>
      <c r="I728" s="32" t="s">
        <v>831</v>
      </c>
      <c r="J728" s="128"/>
    </row>
    <row r="729" spans="1:10">
      <c r="A729" s="8" t="s">
        <v>877</v>
      </c>
      <c r="B729" s="67">
        <v>6560000</v>
      </c>
      <c r="C729" s="68">
        <v>6030000</v>
      </c>
      <c r="D729" s="27">
        <f t="shared" si="50"/>
        <v>530000</v>
      </c>
      <c r="E729" s="2">
        <f t="shared" si="51"/>
        <v>8.7893864013267001E-2</v>
      </c>
      <c r="F729" s="13" t="s">
        <v>1151</v>
      </c>
      <c r="G729" s="100" t="s">
        <v>475</v>
      </c>
      <c r="H729" s="20" t="s">
        <v>440</v>
      </c>
      <c r="I729" s="34" t="s">
        <v>831</v>
      </c>
      <c r="J729" s="128"/>
    </row>
    <row r="730" spans="1:10">
      <c r="A730" s="8" t="s">
        <v>1152</v>
      </c>
      <c r="B730" s="19">
        <v>8297862.9000000004</v>
      </c>
      <c r="C730" s="19">
        <v>7009849.7000000002</v>
      </c>
      <c r="D730" s="17">
        <f t="shared" si="50"/>
        <v>1288013.2000000002</v>
      </c>
      <c r="E730" s="2">
        <f t="shared" si="51"/>
        <v>0.18374334045992458</v>
      </c>
      <c r="F730" s="13" t="s">
        <v>1153</v>
      </c>
      <c r="G730" s="100" t="s">
        <v>475</v>
      </c>
      <c r="H730" s="20" t="s">
        <v>30</v>
      </c>
      <c r="I730" s="21" t="s">
        <v>859</v>
      </c>
      <c r="J730" s="128"/>
    </row>
    <row r="731" spans="1:10">
      <c r="A731" s="54" t="s">
        <v>1154</v>
      </c>
      <c r="B731" s="55">
        <v>2659000</v>
      </c>
      <c r="C731" s="55">
        <v>2526050</v>
      </c>
      <c r="D731" s="17">
        <f t="shared" si="50"/>
        <v>132950</v>
      </c>
      <c r="E731" s="2">
        <f t="shared" si="51"/>
        <v>5.2631578947368418E-2</v>
      </c>
      <c r="F731" s="13" t="s">
        <v>1155</v>
      </c>
      <c r="G731" s="100" t="s">
        <v>475</v>
      </c>
      <c r="H731" s="20" t="s">
        <v>391</v>
      </c>
      <c r="I731" s="21"/>
      <c r="J731" s="128"/>
    </row>
    <row r="732" spans="1:10">
      <c r="A732" s="8" t="s">
        <v>1156</v>
      </c>
      <c r="B732" s="19">
        <v>5819550</v>
      </c>
      <c r="C732" s="19">
        <v>4999200</v>
      </c>
      <c r="D732" s="17">
        <f t="shared" si="50"/>
        <v>820350</v>
      </c>
      <c r="E732" s="2">
        <f t="shared" si="51"/>
        <v>0.16409625540086414</v>
      </c>
      <c r="F732" s="13" t="s">
        <v>1157</v>
      </c>
      <c r="G732" s="100" t="s">
        <v>475</v>
      </c>
      <c r="H732" s="20" t="s">
        <v>30</v>
      </c>
      <c r="I732" s="21" t="s">
        <v>1101</v>
      </c>
      <c r="J732" s="128"/>
    </row>
    <row r="733" spans="1:10">
      <c r="A733" s="8" t="s">
        <v>858</v>
      </c>
      <c r="B733" s="19">
        <v>7419590</v>
      </c>
      <c r="C733" s="19">
        <v>7139590</v>
      </c>
      <c r="D733" s="17">
        <f t="shared" si="50"/>
        <v>280000</v>
      </c>
      <c r="E733" s="2">
        <f t="shared" si="51"/>
        <v>3.9217938284971547E-2</v>
      </c>
      <c r="F733" s="14" t="s">
        <v>1158</v>
      </c>
      <c r="G733" s="100" t="s">
        <v>475</v>
      </c>
      <c r="H733" s="20" t="s">
        <v>30</v>
      </c>
      <c r="I733" s="21" t="s">
        <v>1159</v>
      </c>
      <c r="J733" s="128"/>
    </row>
    <row r="734" spans="1:10">
      <c r="A734" s="8" t="s">
        <v>438</v>
      </c>
      <c r="B734" s="19">
        <v>3193647</v>
      </c>
      <c r="C734" s="19">
        <v>3063758</v>
      </c>
      <c r="D734" s="17">
        <f t="shared" si="50"/>
        <v>129889</v>
      </c>
      <c r="E734" s="44">
        <f t="shared" si="51"/>
        <v>4.2395319734783228E-2</v>
      </c>
      <c r="F734" s="71" t="s">
        <v>1160</v>
      </c>
      <c r="G734" s="100" t="s">
        <v>475</v>
      </c>
      <c r="H734" s="20" t="s">
        <v>440</v>
      </c>
      <c r="I734" s="34" t="s">
        <v>831</v>
      </c>
      <c r="J734" s="128"/>
    </row>
    <row r="735" spans="1:10">
      <c r="A735" s="8" t="s">
        <v>1161</v>
      </c>
      <c r="B735" s="19">
        <v>3176740</v>
      </c>
      <c r="C735" s="19">
        <v>3113200</v>
      </c>
      <c r="D735" s="17">
        <f t="shared" si="50"/>
        <v>63540</v>
      </c>
      <c r="E735" s="44">
        <f t="shared" si="51"/>
        <v>2.0409867660285238E-2</v>
      </c>
      <c r="F735" s="71" t="s">
        <v>1162</v>
      </c>
      <c r="G735" s="100" t="s">
        <v>475</v>
      </c>
      <c r="H735" s="20" t="s">
        <v>440</v>
      </c>
      <c r="I735" s="34" t="s">
        <v>831</v>
      </c>
      <c r="J735" s="128"/>
    </row>
    <row r="736" spans="1:10">
      <c r="A736" s="9" t="s">
        <v>1161</v>
      </c>
      <c r="B736" s="22">
        <v>3176740</v>
      </c>
      <c r="C736" s="22">
        <v>3113200</v>
      </c>
      <c r="D736" s="35">
        <f t="shared" si="50"/>
        <v>63540</v>
      </c>
      <c r="E736" s="77">
        <f t="shared" si="51"/>
        <v>2.0409867660285238E-2</v>
      </c>
      <c r="F736" s="78" t="s">
        <v>1163</v>
      </c>
      <c r="G736" s="100" t="s">
        <v>475</v>
      </c>
      <c r="H736" s="23" t="s">
        <v>440</v>
      </c>
      <c r="I736" s="34" t="s">
        <v>831</v>
      </c>
      <c r="J736" s="129"/>
    </row>
    <row r="737" spans="1:10">
      <c r="A737" s="134" t="s">
        <v>1164</v>
      </c>
      <c r="B737" s="134"/>
      <c r="C737" s="134"/>
      <c r="D737" s="134"/>
      <c r="E737" s="134"/>
      <c r="F737" s="134"/>
      <c r="G737" s="134"/>
      <c r="H737" s="134"/>
      <c r="I737" s="134"/>
      <c r="J737" s="135"/>
    </row>
    <row r="738" spans="1:10">
      <c r="A738" s="56" t="s">
        <v>877</v>
      </c>
      <c r="B738" s="79">
        <v>4971000</v>
      </c>
      <c r="C738" s="80">
        <v>4745000</v>
      </c>
      <c r="D738" s="81">
        <f t="shared" si="50"/>
        <v>226000</v>
      </c>
      <c r="E738" s="1">
        <f t="shared" si="51"/>
        <v>4.7629083245521599E-2</v>
      </c>
      <c r="F738" s="12" t="s">
        <v>1165</v>
      </c>
      <c r="G738" s="101" t="s">
        <v>550</v>
      </c>
      <c r="H738" s="18" t="s">
        <v>440</v>
      </c>
      <c r="I738" s="82" t="s">
        <v>831</v>
      </c>
      <c r="J738" s="124">
        <f>SUM(D738:D788)</f>
        <v>15925431.040000003</v>
      </c>
    </row>
    <row r="739" spans="1:10">
      <c r="A739" s="8" t="s">
        <v>1103</v>
      </c>
      <c r="B739" s="19">
        <v>5570000</v>
      </c>
      <c r="C739" s="19">
        <v>5200000</v>
      </c>
      <c r="D739" s="17">
        <f t="shared" si="50"/>
        <v>370000</v>
      </c>
      <c r="E739" s="2">
        <f t="shared" si="51"/>
        <v>7.1153846153846151E-2</v>
      </c>
      <c r="F739" s="72" t="s">
        <v>1166</v>
      </c>
      <c r="G739" s="101" t="s">
        <v>550</v>
      </c>
      <c r="H739" s="20" t="s">
        <v>440</v>
      </c>
      <c r="I739" s="34" t="s">
        <v>831</v>
      </c>
      <c r="J739" s="124"/>
    </row>
    <row r="740" spans="1:10">
      <c r="A740" s="8" t="s">
        <v>870</v>
      </c>
      <c r="B740" s="19">
        <v>2438000</v>
      </c>
      <c r="C740" s="19">
        <v>2291720</v>
      </c>
      <c r="D740" s="17">
        <f t="shared" si="50"/>
        <v>146280</v>
      </c>
      <c r="E740" s="2">
        <f t="shared" si="51"/>
        <v>6.3829787234042548E-2</v>
      </c>
      <c r="F740" s="73" t="s">
        <v>1167</v>
      </c>
      <c r="G740" s="101" t="s">
        <v>550</v>
      </c>
      <c r="H740" s="20" t="s">
        <v>440</v>
      </c>
      <c r="I740" s="34" t="s">
        <v>831</v>
      </c>
      <c r="J740" s="124"/>
    </row>
    <row r="741" spans="1:10">
      <c r="A741" s="8" t="s">
        <v>853</v>
      </c>
      <c r="B741" s="19">
        <v>4651000</v>
      </c>
      <c r="C741" s="19">
        <v>4371940</v>
      </c>
      <c r="D741" s="17">
        <f t="shared" si="50"/>
        <v>279060</v>
      </c>
      <c r="E741" s="2">
        <f t="shared" si="51"/>
        <v>6.3829787234042548E-2</v>
      </c>
      <c r="F741" s="73" t="s">
        <v>1168</v>
      </c>
      <c r="G741" s="101" t="s">
        <v>550</v>
      </c>
      <c r="H741" s="20" t="s">
        <v>440</v>
      </c>
      <c r="I741" s="34" t="s">
        <v>831</v>
      </c>
      <c r="J741" s="124"/>
    </row>
    <row r="742" spans="1:10">
      <c r="A742" s="8" t="s">
        <v>1169</v>
      </c>
      <c r="B742" s="19">
        <v>7405885</v>
      </c>
      <c r="C742" s="19">
        <v>7164454</v>
      </c>
      <c r="D742" s="17">
        <f t="shared" si="50"/>
        <v>241431</v>
      </c>
      <c r="E742" s="2">
        <f t="shared" si="51"/>
        <v>3.3698450712364124E-2</v>
      </c>
      <c r="F742" s="165" t="s">
        <v>1170</v>
      </c>
      <c r="G742" s="101" t="s">
        <v>550</v>
      </c>
      <c r="H742" s="20" t="s">
        <v>383</v>
      </c>
      <c r="I742" s="34"/>
      <c r="J742" s="124"/>
    </row>
    <row r="743" spans="1:10" ht="15.75">
      <c r="A743" s="8" t="s">
        <v>457</v>
      </c>
      <c r="B743" s="19">
        <v>358654</v>
      </c>
      <c r="C743" s="19">
        <v>337557</v>
      </c>
      <c r="D743" s="17">
        <f t="shared" si="50"/>
        <v>21097</v>
      </c>
      <c r="E743" s="2">
        <f t="shared" si="51"/>
        <v>6.249907423042627E-2</v>
      </c>
      <c r="F743" s="74" t="s">
        <v>1171</v>
      </c>
      <c r="G743" s="101" t="s">
        <v>550</v>
      </c>
      <c r="H743" s="20" t="s">
        <v>30</v>
      </c>
      <c r="I743" s="75" t="s">
        <v>1172</v>
      </c>
      <c r="J743" s="124"/>
    </row>
    <row r="744" spans="1:10">
      <c r="A744" s="8" t="s">
        <v>1173</v>
      </c>
      <c r="B744" s="19">
        <v>990000</v>
      </c>
      <c r="C744" s="19">
        <v>890000</v>
      </c>
      <c r="D744" s="17">
        <f t="shared" si="50"/>
        <v>100000</v>
      </c>
      <c r="E744" s="2">
        <f t="shared" si="51"/>
        <v>0.11235955056179775</v>
      </c>
      <c r="F744" s="13" t="s">
        <v>1174</v>
      </c>
      <c r="G744" s="101" t="s">
        <v>550</v>
      </c>
      <c r="H744" s="20" t="s">
        <v>584</v>
      </c>
      <c r="I744" s="32" t="s">
        <v>1003</v>
      </c>
      <c r="J744" s="124"/>
    </row>
    <row r="745" spans="1:10">
      <c r="A745" s="8" t="s">
        <v>858</v>
      </c>
      <c r="B745" s="19">
        <v>10940000</v>
      </c>
      <c r="C745" s="19">
        <v>10430000</v>
      </c>
      <c r="D745" s="17">
        <f t="shared" si="50"/>
        <v>510000</v>
      </c>
      <c r="E745" s="2">
        <f t="shared" si="51"/>
        <v>4.8897411313518699E-2</v>
      </c>
      <c r="F745" s="13" t="s">
        <v>1175</v>
      </c>
      <c r="G745" s="101" t="s">
        <v>550</v>
      </c>
      <c r="H745" s="20" t="s">
        <v>584</v>
      </c>
      <c r="I745" s="32" t="s">
        <v>1003</v>
      </c>
      <c r="J745" s="124"/>
    </row>
    <row r="746" spans="1:10">
      <c r="A746" s="8" t="s">
        <v>1001</v>
      </c>
      <c r="B746" s="19">
        <v>510000</v>
      </c>
      <c r="C746" s="19">
        <v>450000</v>
      </c>
      <c r="D746" s="17">
        <f t="shared" si="50"/>
        <v>60000</v>
      </c>
      <c r="E746" s="2">
        <f t="shared" si="51"/>
        <v>0.13333333333333333</v>
      </c>
      <c r="F746" s="13" t="s">
        <v>1176</v>
      </c>
      <c r="G746" s="101" t="s">
        <v>550</v>
      </c>
      <c r="H746" s="20" t="s">
        <v>584</v>
      </c>
      <c r="I746" s="32" t="s">
        <v>1003</v>
      </c>
      <c r="J746" s="124"/>
    </row>
    <row r="747" spans="1:10">
      <c r="A747" s="8" t="s">
        <v>1177</v>
      </c>
      <c r="B747" s="19">
        <v>3500000</v>
      </c>
      <c r="C747" s="19">
        <v>3000000</v>
      </c>
      <c r="D747" s="17">
        <f t="shared" si="50"/>
        <v>500000</v>
      </c>
      <c r="E747" s="2">
        <f t="shared" si="51"/>
        <v>0.16666666666666666</v>
      </c>
      <c r="F747" s="13" t="s">
        <v>1178</v>
      </c>
      <c r="G747" s="101" t="s">
        <v>550</v>
      </c>
      <c r="H747" s="20" t="s">
        <v>584</v>
      </c>
      <c r="I747" s="32" t="s">
        <v>1003</v>
      </c>
      <c r="J747" s="124"/>
    </row>
    <row r="748" spans="1:10">
      <c r="A748" s="8" t="s">
        <v>1179</v>
      </c>
      <c r="B748" s="19">
        <v>6500000</v>
      </c>
      <c r="C748" s="19">
        <v>5000000</v>
      </c>
      <c r="D748" s="17">
        <f t="shared" si="50"/>
        <v>1500000</v>
      </c>
      <c r="E748" s="2">
        <f t="shared" si="51"/>
        <v>0.3</v>
      </c>
      <c r="F748" s="13" t="s">
        <v>1180</v>
      </c>
      <c r="G748" s="101" t="s">
        <v>550</v>
      </c>
      <c r="H748" s="20" t="s">
        <v>584</v>
      </c>
      <c r="I748" s="32" t="s">
        <v>1003</v>
      </c>
      <c r="J748" s="124"/>
    </row>
    <row r="749" spans="1:10">
      <c r="A749" s="8" t="s">
        <v>1179</v>
      </c>
      <c r="B749" s="19">
        <v>6400000</v>
      </c>
      <c r="C749" s="19">
        <v>6300000</v>
      </c>
      <c r="D749" s="17">
        <f t="shared" si="50"/>
        <v>100000</v>
      </c>
      <c r="E749" s="2">
        <f t="shared" si="51"/>
        <v>1.5873015873015872E-2</v>
      </c>
      <c r="F749" s="13" t="s">
        <v>1181</v>
      </c>
      <c r="G749" s="101" t="s">
        <v>550</v>
      </c>
      <c r="H749" s="20" t="s">
        <v>584</v>
      </c>
      <c r="I749" s="32" t="s">
        <v>1003</v>
      </c>
      <c r="J749" s="124"/>
    </row>
    <row r="750" spans="1:10">
      <c r="A750" s="8" t="s">
        <v>1179</v>
      </c>
      <c r="B750" s="19">
        <v>7000000</v>
      </c>
      <c r="C750" s="19">
        <v>6500000</v>
      </c>
      <c r="D750" s="17">
        <f t="shared" si="50"/>
        <v>500000</v>
      </c>
      <c r="E750" s="2">
        <f t="shared" si="51"/>
        <v>7.6923076923076927E-2</v>
      </c>
      <c r="F750" s="13" t="s">
        <v>1182</v>
      </c>
      <c r="G750" s="101" t="s">
        <v>550</v>
      </c>
      <c r="H750" s="20" t="s">
        <v>584</v>
      </c>
      <c r="I750" s="32" t="s">
        <v>1003</v>
      </c>
      <c r="J750" s="124"/>
    </row>
    <row r="751" spans="1:10">
      <c r="A751" s="8" t="s">
        <v>1179</v>
      </c>
      <c r="B751" s="19">
        <v>6000000</v>
      </c>
      <c r="C751" s="19">
        <v>5900000</v>
      </c>
      <c r="D751" s="17">
        <f t="shared" si="50"/>
        <v>100000</v>
      </c>
      <c r="E751" s="2">
        <f t="shared" si="51"/>
        <v>1.6949152542372881E-2</v>
      </c>
      <c r="F751" s="13" t="s">
        <v>1183</v>
      </c>
      <c r="G751" s="101" t="s">
        <v>550</v>
      </c>
      <c r="H751" s="20" t="s">
        <v>584</v>
      </c>
      <c r="I751" s="32" t="s">
        <v>1003</v>
      </c>
      <c r="J751" s="124"/>
    </row>
    <row r="752" spans="1:10">
      <c r="A752" s="8" t="s">
        <v>1184</v>
      </c>
      <c r="B752" s="19">
        <v>3029000</v>
      </c>
      <c r="C752" s="19">
        <v>2729000</v>
      </c>
      <c r="D752" s="17">
        <f t="shared" si="50"/>
        <v>300000</v>
      </c>
      <c r="E752" s="2">
        <f t="shared" si="51"/>
        <v>0.10993037742762916</v>
      </c>
      <c r="F752" s="13" t="s">
        <v>1185</v>
      </c>
      <c r="G752" s="101" t="s">
        <v>550</v>
      </c>
      <c r="H752" s="20" t="s">
        <v>383</v>
      </c>
      <c r="I752" s="34"/>
      <c r="J752" s="124"/>
    </row>
    <row r="753" spans="1:10">
      <c r="A753" s="8" t="s">
        <v>438</v>
      </c>
      <c r="B753" s="19">
        <v>1007833</v>
      </c>
      <c r="C753" s="19">
        <v>977293</v>
      </c>
      <c r="D753" s="17">
        <f t="shared" si="50"/>
        <v>30540</v>
      </c>
      <c r="E753" s="2">
        <f t="shared" si="51"/>
        <v>3.1249584310948712E-2</v>
      </c>
      <c r="F753" s="76" t="s">
        <v>1186</v>
      </c>
      <c r="G753" s="101" t="s">
        <v>550</v>
      </c>
      <c r="H753" s="20" t="s">
        <v>30</v>
      </c>
      <c r="I753" s="89" t="s">
        <v>1187</v>
      </c>
      <c r="J753" s="124"/>
    </row>
    <row r="754" spans="1:10">
      <c r="A754" s="8" t="s">
        <v>438</v>
      </c>
      <c r="B754" s="19">
        <v>630220</v>
      </c>
      <c r="C754" s="19">
        <v>589220</v>
      </c>
      <c r="D754" s="17">
        <f t="shared" si="50"/>
        <v>41000</v>
      </c>
      <c r="E754" s="2">
        <f t="shared" si="51"/>
        <v>6.9583517192220223E-2</v>
      </c>
      <c r="F754" s="13" t="s">
        <v>1188</v>
      </c>
      <c r="G754" s="101" t="s">
        <v>550</v>
      </c>
      <c r="H754" s="20" t="s">
        <v>1038</v>
      </c>
      <c r="I754" s="89"/>
      <c r="J754" s="124"/>
    </row>
    <row r="755" spans="1:10">
      <c r="A755" s="8" t="s">
        <v>438</v>
      </c>
      <c r="B755" s="19">
        <v>113135</v>
      </c>
      <c r="C755" s="19">
        <v>106480</v>
      </c>
      <c r="D755" s="17">
        <f t="shared" si="50"/>
        <v>6655</v>
      </c>
      <c r="E755" s="2">
        <f t="shared" si="51"/>
        <v>6.25E-2</v>
      </c>
      <c r="F755" s="13" t="s">
        <v>1189</v>
      </c>
      <c r="G755" s="101" t="s">
        <v>550</v>
      </c>
      <c r="H755" s="20" t="s">
        <v>30</v>
      </c>
      <c r="I755" s="89" t="s">
        <v>1187</v>
      </c>
      <c r="J755" s="124"/>
    </row>
    <row r="756" spans="1:10">
      <c r="A756" s="8" t="s">
        <v>438</v>
      </c>
      <c r="B756" s="19">
        <v>574145</v>
      </c>
      <c r="C756" s="19">
        <v>541717</v>
      </c>
      <c r="D756" s="17">
        <f t="shared" si="50"/>
        <v>32428</v>
      </c>
      <c r="E756" s="2">
        <f t="shared" si="51"/>
        <v>5.9861514406968949E-2</v>
      </c>
      <c r="F756" s="13" t="s">
        <v>1190</v>
      </c>
      <c r="G756" s="101" t="s">
        <v>550</v>
      </c>
      <c r="H756" s="20" t="s">
        <v>440</v>
      </c>
      <c r="I756" s="82" t="s">
        <v>831</v>
      </c>
      <c r="J756" s="124"/>
    </row>
    <row r="757" spans="1:10">
      <c r="A757" s="8" t="s">
        <v>438</v>
      </c>
      <c r="B757" s="19">
        <v>640332</v>
      </c>
      <c r="C757" s="19">
        <v>604758</v>
      </c>
      <c r="D757" s="17">
        <f t="shared" si="50"/>
        <v>35574</v>
      </c>
      <c r="E757" s="2">
        <f t="shared" si="51"/>
        <v>5.8823529411764705E-2</v>
      </c>
      <c r="F757" s="13" t="s">
        <v>1191</v>
      </c>
      <c r="G757" s="101" t="s">
        <v>550</v>
      </c>
      <c r="H757" s="23" t="s">
        <v>440</v>
      </c>
      <c r="I757" s="34" t="s">
        <v>831</v>
      </c>
      <c r="J757" s="124"/>
    </row>
    <row r="758" spans="1:10">
      <c r="A758" s="8" t="s">
        <v>870</v>
      </c>
      <c r="B758" s="19">
        <v>2490000</v>
      </c>
      <c r="C758" s="19">
        <v>2340600</v>
      </c>
      <c r="D758" s="17">
        <f t="shared" si="50"/>
        <v>149400</v>
      </c>
      <c r="E758" s="2">
        <f t="shared" si="51"/>
        <v>6.3829787234042548E-2</v>
      </c>
      <c r="F758" s="13" t="s">
        <v>1192</v>
      </c>
      <c r="G758" s="101" t="s">
        <v>550</v>
      </c>
      <c r="H758" s="21" t="s">
        <v>440</v>
      </c>
      <c r="I758" s="32" t="s">
        <v>831</v>
      </c>
      <c r="J758" s="124"/>
    </row>
    <row r="759" spans="1:10">
      <c r="A759" s="8" t="s">
        <v>870</v>
      </c>
      <c r="B759" s="19">
        <v>2170000</v>
      </c>
      <c r="C759" s="19">
        <v>2036800</v>
      </c>
      <c r="D759" s="17">
        <f t="shared" si="50"/>
        <v>133200</v>
      </c>
      <c r="E759" s="2">
        <f t="shared" si="51"/>
        <v>6.5396700706991356E-2</v>
      </c>
      <c r="F759" s="13" t="s">
        <v>1193</v>
      </c>
      <c r="G759" s="101" t="s">
        <v>550</v>
      </c>
      <c r="H759" s="20" t="s">
        <v>30</v>
      </c>
      <c r="I759" s="89" t="s">
        <v>1187</v>
      </c>
      <c r="J759" s="124"/>
    </row>
    <row r="760" spans="1:10">
      <c r="A760" s="8" t="s">
        <v>870</v>
      </c>
      <c r="B760" s="19">
        <v>4874200</v>
      </c>
      <c r="C760" s="19">
        <v>4581800</v>
      </c>
      <c r="D760" s="17">
        <f t="shared" si="50"/>
        <v>292400</v>
      </c>
      <c r="E760" s="2">
        <f t="shared" si="51"/>
        <v>6.381771356235541E-2</v>
      </c>
      <c r="F760" s="13" t="s">
        <v>1194</v>
      </c>
      <c r="G760" s="101" t="s">
        <v>550</v>
      </c>
      <c r="H760" s="18" t="s">
        <v>440</v>
      </c>
      <c r="I760" s="82" t="s">
        <v>831</v>
      </c>
      <c r="J760" s="124"/>
    </row>
    <row r="761" spans="1:10">
      <c r="A761" s="8" t="s">
        <v>1195</v>
      </c>
      <c r="B761" s="19">
        <v>1140000</v>
      </c>
      <c r="C761" s="19">
        <v>1026000</v>
      </c>
      <c r="D761" s="17">
        <f t="shared" si="50"/>
        <v>114000</v>
      </c>
      <c r="E761" s="2">
        <f t="shared" si="51"/>
        <v>0.1111111111111111</v>
      </c>
      <c r="F761" s="13" t="s">
        <v>1196</v>
      </c>
      <c r="G761" s="101" t="s">
        <v>550</v>
      </c>
      <c r="H761" s="20" t="s">
        <v>30</v>
      </c>
      <c r="I761" s="89" t="s">
        <v>1187</v>
      </c>
      <c r="J761" s="124"/>
    </row>
    <row r="762" spans="1:10">
      <c r="A762" s="8" t="s">
        <v>1195</v>
      </c>
      <c r="B762" s="19">
        <v>1884000</v>
      </c>
      <c r="C762" s="19">
        <v>1695600</v>
      </c>
      <c r="D762" s="17">
        <f t="shared" si="50"/>
        <v>188400</v>
      </c>
      <c r="E762" s="2">
        <f t="shared" si="51"/>
        <v>0.1111111111111111</v>
      </c>
      <c r="F762" s="13" t="s">
        <v>1197</v>
      </c>
      <c r="G762" s="101" t="s">
        <v>550</v>
      </c>
      <c r="H762" s="20" t="s">
        <v>30</v>
      </c>
      <c r="I762" s="89" t="s">
        <v>1187</v>
      </c>
      <c r="J762" s="124"/>
    </row>
    <row r="763" spans="1:10">
      <c r="A763" s="8" t="s">
        <v>1129</v>
      </c>
      <c r="B763" s="19">
        <v>15100000</v>
      </c>
      <c r="C763" s="19">
        <v>14300000</v>
      </c>
      <c r="D763" s="17">
        <f t="shared" si="50"/>
        <v>800000</v>
      </c>
      <c r="E763" s="2">
        <f t="shared" si="51"/>
        <v>5.5944055944055944E-2</v>
      </c>
      <c r="F763" s="14" t="s">
        <v>1198</v>
      </c>
      <c r="G763" s="101" t="s">
        <v>550</v>
      </c>
      <c r="H763" s="18" t="s">
        <v>440</v>
      </c>
      <c r="I763" s="82" t="s">
        <v>831</v>
      </c>
      <c r="J763" s="124"/>
    </row>
    <row r="764" spans="1:10">
      <c r="A764" s="8" t="s">
        <v>1129</v>
      </c>
      <c r="B764" s="19">
        <v>8460000</v>
      </c>
      <c r="C764" s="19">
        <v>8070000</v>
      </c>
      <c r="D764" s="17">
        <f t="shared" si="50"/>
        <v>390000</v>
      </c>
      <c r="E764" s="44">
        <f t="shared" si="51"/>
        <v>4.8327137546468404E-2</v>
      </c>
      <c r="F764" s="84" t="s">
        <v>1199</v>
      </c>
      <c r="G764" s="101" t="s">
        <v>550</v>
      </c>
      <c r="H764" s="18" t="s">
        <v>440</v>
      </c>
      <c r="I764" s="32" t="s">
        <v>831</v>
      </c>
      <c r="J764" s="124"/>
    </row>
    <row r="765" spans="1:10" ht="29.25">
      <c r="A765" s="8" t="s">
        <v>1129</v>
      </c>
      <c r="B765" s="19">
        <v>6342000</v>
      </c>
      <c r="C765" s="19">
        <v>5980000</v>
      </c>
      <c r="D765" s="17">
        <f t="shared" si="50"/>
        <v>362000</v>
      </c>
      <c r="E765" s="2">
        <f t="shared" si="51"/>
        <v>6.0535117056856186E-2</v>
      </c>
      <c r="F765" s="86" t="s">
        <v>1200</v>
      </c>
      <c r="G765" s="101" t="s">
        <v>550</v>
      </c>
      <c r="H765" s="18" t="s">
        <v>440</v>
      </c>
      <c r="I765" s="32" t="s">
        <v>831</v>
      </c>
      <c r="J765" s="124"/>
    </row>
    <row r="766" spans="1:10">
      <c r="A766" s="8" t="s">
        <v>1129</v>
      </c>
      <c r="B766" s="19">
        <v>5410600</v>
      </c>
      <c r="C766" s="19">
        <v>5110000</v>
      </c>
      <c r="D766" s="17">
        <f t="shared" si="50"/>
        <v>300600</v>
      </c>
      <c r="E766" s="2">
        <f t="shared" si="51"/>
        <v>5.8825831702544032E-2</v>
      </c>
      <c r="F766" s="85" t="s">
        <v>1201</v>
      </c>
      <c r="G766" s="101" t="s">
        <v>550</v>
      </c>
      <c r="H766" s="18" t="s">
        <v>440</v>
      </c>
      <c r="I766" s="32" t="s">
        <v>831</v>
      </c>
      <c r="J766" s="124"/>
    </row>
    <row r="767" spans="1:10">
      <c r="A767" s="8" t="s">
        <v>870</v>
      </c>
      <c r="B767" s="19">
        <v>2895000</v>
      </c>
      <c r="C767" s="19">
        <v>2721000</v>
      </c>
      <c r="D767" s="17">
        <f t="shared" si="50"/>
        <v>174000</v>
      </c>
      <c r="E767" s="2">
        <f t="shared" si="51"/>
        <v>6.3947078280044103E-2</v>
      </c>
      <c r="F767" s="74" t="s">
        <v>1202</v>
      </c>
      <c r="G767" s="101" t="s">
        <v>550</v>
      </c>
      <c r="H767" s="18" t="s">
        <v>440</v>
      </c>
      <c r="I767" s="32" t="s">
        <v>831</v>
      </c>
      <c r="J767" s="124"/>
    </row>
    <row r="768" spans="1:10">
      <c r="A768" s="8" t="s">
        <v>438</v>
      </c>
      <c r="B768" s="19">
        <v>588302</v>
      </c>
      <c r="C768" s="19">
        <v>553696</v>
      </c>
      <c r="D768" s="17">
        <f t="shared" si="50"/>
        <v>34606</v>
      </c>
      <c r="E768" s="2">
        <f t="shared" si="51"/>
        <v>6.25E-2</v>
      </c>
      <c r="F768" s="13" t="s">
        <v>1203</v>
      </c>
      <c r="G768" s="101" t="s">
        <v>550</v>
      </c>
      <c r="H768" s="18" t="s">
        <v>440</v>
      </c>
      <c r="I768" s="32" t="s">
        <v>831</v>
      </c>
      <c r="J768" s="124"/>
    </row>
    <row r="769" spans="1:10">
      <c r="A769" s="8" t="s">
        <v>438</v>
      </c>
      <c r="B769" s="19">
        <v>706942</v>
      </c>
      <c r="C769" s="19">
        <v>665803</v>
      </c>
      <c r="D769" s="17">
        <f t="shared" si="50"/>
        <v>41139</v>
      </c>
      <c r="E769" s="2">
        <f t="shared" si="51"/>
        <v>6.1788547062719752E-2</v>
      </c>
      <c r="F769" s="13" t="s">
        <v>1204</v>
      </c>
      <c r="G769" s="101" t="s">
        <v>550</v>
      </c>
      <c r="H769" s="18" t="s">
        <v>440</v>
      </c>
      <c r="I769" s="32" t="s">
        <v>831</v>
      </c>
      <c r="J769" s="124"/>
    </row>
    <row r="770" spans="1:10">
      <c r="A770" s="8" t="s">
        <v>438</v>
      </c>
      <c r="B770" s="19">
        <v>1462582</v>
      </c>
      <c r="C770" s="19">
        <v>1376441</v>
      </c>
      <c r="D770" s="17">
        <f t="shared" si="50"/>
        <v>86141</v>
      </c>
      <c r="E770" s="2">
        <f t="shared" si="51"/>
        <v>6.2582413630515227E-2</v>
      </c>
      <c r="F770" s="15" t="s">
        <v>1205</v>
      </c>
      <c r="G770" s="101" t="s">
        <v>550</v>
      </c>
      <c r="H770" s="18" t="s">
        <v>440</v>
      </c>
      <c r="I770" s="32" t="s">
        <v>831</v>
      </c>
      <c r="J770" s="124"/>
    </row>
    <row r="771" spans="1:10">
      <c r="A771" s="8" t="s">
        <v>438</v>
      </c>
      <c r="B771" s="19">
        <v>575960</v>
      </c>
      <c r="C771" s="19">
        <v>542080</v>
      </c>
      <c r="D771" s="17">
        <f t="shared" si="50"/>
        <v>33880</v>
      </c>
      <c r="E771" s="2">
        <f t="shared" si="51"/>
        <v>6.25E-2</v>
      </c>
      <c r="F771" s="13" t="s">
        <v>1206</v>
      </c>
      <c r="G771" s="101" t="s">
        <v>550</v>
      </c>
      <c r="H771" s="20" t="s">
        <v>1207</v>
      </c>
      <c r="I771" s="32" t="s">
        <v>1208</v>
      </c>
      <c r="J771" s="124"/>
    </row>
    <row r="772" spans="1:10">
      <c r="A772" s="8" t="s">
        <v>438</v>
      </c>
      <c r="B772" s="19">
        <v>508624</v>
      </c>
      <c r="C772" s="19">
        <v>478705</v>
      </c>
      <c r="D772" s="17">
        <f t="shared" si="50"/>
        <v>29919</v>
      </c>
      <c r="E772" s="2">
        <f t="shared" si="51"/>
        <v>6.2499869439425114E-2</v>
      </c>
      <c r="F772" s="13" t="s">
        <v>1209</v>
      </c>
      <c r="G772" s="101" t="s">
        <v>550</v>
      </c>
      <c r="H772" s="20" t="s">
        <v>1207</v>
      </c>
      <c r="I772" s="32" t="s">
        <v>1208</v>
      </c>
      <c r="J772" s="124"/>
    </row>
    <row r="773" spans="1:10">
      <c r="A773" s="8" t="s">
        <v>438</v>
      </c>
      <c r="B773" s="19">
        <v>716090</v>
      </c>
      <c r="C773" s="19">
        <v>716320</v>
      </c>
      <c r="D773" s="17">
        <f t="shared" si="50"/>
        <v>-230</v>
      </c>
      <c r="E773" s="2">
        <f t="shared" si="51"/>
        <v>-3.2108554835827565E-4</v>
      </c>
      <c r="F773" s="13" t="s">
        <v>1210</v>
      </c>
      <c r="G773" s="101" t="s">
        <v>550</v>
      </c>
      <c r="H773" s="18" t="s">
        <v>440</v>
      </c>
      <c r="I773" s="32" t="s">
        <v>831</v>
      </c>
      <c r="J773" s="124"/>
    </row>
    <row r="774" spans="1:10">
      <c r="A774" s="8" t="s">
        <v>438</v>
      </c>
      <c r="B774" s="19">
        <v>1043188</v>
      </c>
      <c r="C774" s="19">
        <v>982918</v>
      </c>
      <c r="D774" s="17">
        <f t="shared" si="50"/>
        <v>60270</v>
      </c>
      <c r="E774" s="2">
        <f t="shared" si="51"/>
        <v>6.131742424088276E-2</v>
      </c>
      <c r="F774" s="13" t="s">
        <v>1211</v>
      </c>
      <c r="G774" s="101" t="s">
        <v>550</v>
      </c>
      <c r="H774" s="18" t="s">
        <v>440</v>
      </c>
      <c r="I774" s="32" t="s">
        <v>831</v>
      </c>
      <c r="J774" s="124"/>
    </row>
    <row r="775" spans="1:10">
      <c r="A775" s="8" t="s">
        <v>438</v>
      </c>
      <c r="B775" s="19">
        <v>798000</v>
      </c>
      <c r="C775" s="19">
        <v>756000</v>
      </c>
      <c r="D775" s="17">
        <f t="shared" si="50"/>
        <v>42000</v>
      </c>
      <c r="E775" s="2">
        <f t="shared" si="51"/>
        <v>5.5555555555555552E-2</v>
      </c>
      <c r="F775" s="13" t="s">
        <v>1212</v>
      </c>
      <c r="G775" s="101" t="s">
        <v>550</v>
      </c>
      <c r="H775" s="18" t="s">
        <v>440</v>
      </c>
      <c r="I775" s="32" t="s">
        <v>831</v>
      </c>
      <c r="J775" s="124"/>
    </row>
    <row r="776" spans="1:10">
      <c r="A776" s="8" t="s">
        <v>438</v>
      </c>
      <c r="B776" s="19">
        <v>738300</v>
      </c>
      <c r="C776" s="19">
        <v>697285</v>
      </c>
      <c r="D776" s="17">
        <f t="shared" si="50"/>
        <v>41015</v>
      </c>
      <c r="E776" s="2">
        <f t="shared" si="51"/>
        <v>5.8820998587378187E-2</v>
      </c>
      <c r="F776" s="13" t="s">
        <v>1213</v>
      </c>
      <c r="G776" s="101" t="s">
        <v>550</v>
      </c>
      <c r="H776" s="18" t="s">
        <v>440</v>
      </c>
      <c r="I776" s="32" t="s">
        <v>831</v>
      </c>
      <c r="J776" s="124"/>
    </row>
    <row r="777" spans="1:10" ht="15.75">
      <c r="A777" s="8" t="s">
        <v>438</v>
      </c>
      <c r="B777" s="19">
        <v>7393005</v>
      </c>
      <c r="C777" s="19">
        <v>6930942</v>
      </c>
      <c r="D777" s="17">
        <f t="shared" si="50"/>
        <v>462063</v>
      </c>
      <c r="E777" s="2">
        <f t="shared" si="51"/>
        <v>6.6666695522773101E-2</v>
      </c>
      <c r="F777" s="63" t="s">
        <v>1214</v>
      </c>
      <c r="G777" s="101" t="s">
        <v>550</v>
      </c>
      <c r="H777" s="18" t="s">
        <v>440</v>
      </c>
      <c r="I777" s="32" t="s">
        <v>831</v>
      </c>
      <c r="J777" s="124"/>
    </row>
    <row r="778" spans="1:10" ht="15.75">
      <c r="A778" s="8" t="s">
        <v>438</v>
      </c>
      <c r="B778" s="19">
        <v>750442</v>
      </c>
      <c r="C778" s="19">
        <v>707003</v>
      </c>
      <c r="D778" s="17">
        <f t="shared" si="50"/>
        <v>43439</v>
      </c>
      <c r="E778" s="2">
        <f t="shared" si="51"/>
        <v>6.1441040561355471E-2</v>
      </c>
      <c r="F778" s="63" t="s">
        <v>1215</v>
      </c>
      <c r="G778" s="101" t="s">
        <v>550</v>
      </c>
      <c r="H778" s="18" t="s">
        <v>440</v>
      </c>
      <c r="I778" s="32" t="s">
        <v>831</v>
      </c>
      <c r="J778" s="124"/>
    </row>
    <row r="779" spans="1:10" ht="15.75">
      <c r="A779" s="8" t="s">
        <v>438</v>
      </c>
      <c r="B779" s="19">
        <v>407771</v>
      </c>
      <c r="C779" s="19">
        <v>348658</v>
      </c>
      <c r="D779" s="17">
        <f t="shared" si="50"/>
        <v>59113</v>
      </c>
      <c r="E779" s="2">
        <f t="shared" si="51"/>
        <v>0.16954436725960684</v>
      </c>
      <c r="F779" s="63" t="s">
        <v>1216</v>
      </c>
      <c r="G779" s="101" t="s">
        <v>550</v>
      </c>
      <c r="H779" s="18" t="s">
        <v>440</v>
      </c>
      <c r="I779" s="32" t="s">
        <v>831</v>
      </c>
      <c r="J779" s="124"/>
    </row>
    <row r="780" spans="1:10">
      <c r="A780" s="8" t="s">
        <v>870</v>
      </c>
      <c r="B780" s="19">
        <v>5038700</v>
      </c>
      <c r="C780" s="19">
        <v>4736372</v>
      </c>
      <c r="D780" s="17">
        <f t="shared" si="50"/>
        <v>302328</v>
      </c>
      <c r="E780" s="2">
        <f t="shared" si="51"/>
        <v>6.3831134885519974E-2</v>
      </c>
      <c r="F780" s="13" t="s">
        <v>1217</v>
      </c>
      <c r="G780" s="101" t="s">
        <v>550</v>
      </c>
      <c r="H780" s="18" t="s">
        <v>440</v>
      </c>
      <c r="I780" s="32" t="s">
        <v>831</v>
      </c>
      <c r="J780" s="124"/>
    </row>
    <row r="781" spans="1:10">
      <c r="A781" s="8" t="s">
        <v>1218</v>
      </c>
      <c r="B781" s="19">
        <v>1620000</v>
      </c>
      <c r="C781" s="19">
        <v>1458000</v>
      </c>
      <c r="D781" s="17">
        <f t="shared" si="50"/>
        <v>162000</v>
      </c>
      <c r="E781" s="2">
        <f t="shared" si="51"/>
        <v>0.1111111111111111</v>
      </c>
      <c r="F781" s="13" t="s">
        <v>1219</v>
      </c>
      <c r="G781" s="101" t="s">
        <v>550</v>
      </c>
      <c r="H781" s="18" t="s">
        <v>30</v>
      </c>
      <c r="I781" s="32" t="s">
        <v>310</v>
      </c>
      <c r="J781" s="124"/>
    </row>
    <row r="782" spans="1:10">
      <c r="A782" s="8" t="s">
        <v>783</v>
      </c>
      <c r="B782" s="19">
        <v>314353</v>
      </c>
      <c r="C782" s="19">
        <v>296389</v>
      </c>
      <c r="D782" s="17">
        <f t="shared" si="50"/>
        <v>17964</v>
      </c>
      <c r="E782" s="2">
        <f t="shared" ref="E782:E847" si="52">(B782-C782)/C782</f>
        <v>6.0609536791176463E-2</v>
      </c>
      <c r="F782" s="13" t="s">
        <v>764</v>
      </c>
      <c r="G782" s="101" t="s">
        <v>550</v>
      </c>
      <c r="H782" s="18" t="s">
        <v>440</v>
      </c>
      <c r="I782" s="32" t="s">
        <v>831</v>
      </c>
      <c r="J782" s="124"/>
    </row>
    <row r="783" spans="1:10">
      <c r="A783" s="8" t="s">
        <v>783</v>
      </c>
      <c r="B783" s="19">
        <v>1191491</v>
      </c>
      <c r="C783" s="19">
        <v>1121094</v>
      </c>
      <c r="D783" s="17">
        <f t="shared" si="50"/>
        <v>70397</v>
      </c>
      <c r="E783" s="2">
        <f t="shared" si="52"/>
        <v>6.279312885449391E-2</v>
      </c>
      <c r="F783" s="13" t="s">
        <v>957</v>
      </c>
      <c r="G783" s="101" t="s">
        <v>550</v>
      </c>
      <c r="H783" s="18" t="s">
        <v>440</v>
      </c>
      <c r="I783" s="32" t="s">
        <v>831</v>
      </c>
      <c r="J783" s="124"/>
    </row>
    <row r="784" spans="1:10">
      <c r="A784" s="8" t="s">
        <v>783</v>
      </c>
      <c r="B784" s="19">
        <v>418418</v>
      </c>
      <c r="C784" s="19">
        <v>396396</v>
      </c>
      <c r="D784" s="17">
        <f t="shared" ref="D784:D849" si="53">B784-C784</f>
        <v>22022</v>
      </c>
      <c r="E784" s="2">
        <f t="shared" si="52"/>
        <v>5.5555555555555552E-2</v>
      </c>
      <c r="F784" s="13" t="s">
        <v>1220</v>
      </c>
      <c r="G784" s="101" t="s">
        <v>550</v>
      </c>
      <c r="H784" s="18" t="s">
        <v>440</v>
      </c>
      <c r="I784" s="32" t="s">
        <v>831</v>
      </c>
      <c r="J784" s="124"/>
    </row>
    <row r="785" spans="1:10">
      <c r="A785" s="8" t="s">
        <v>771</v>
      </c>
      <c r="B785" s="19">
        <v>8360000</v>
      </c>
      <c r="C785" s="19">
        <v>7900000</v>
      </c>
      <c r="D785" s="17">
        <f t="shared" si="53"/>
        <v>460000</v>
      </c>
      <c r="E785" s="2">
        <f t="shared" si="52"/>
        <v>5.8227848101265821E-2</v>
      </c>
      <c r="F785" s="13" t="s">
        <v>1221</v>
      </c>
      <c r="G785" s="101" t="s">
        <v>550</v>
      </c>
      <c r="H785" s="18" t="s">
        <v>440</v>
      </c>
      <c r="I785" s="32" t="s">
        <v>831</v>
      </c>
      <c r="J785" s="124"/>
    </row>
    <row r="786" spans="1:10">
      <c r="A786" s="8" t="s">
        <v>872</v>
      </c>
      <c r="B786" s="19">
        <v>589717.19999999995</v>
      </c>
      <c r="C786" s="19">
        <v>560231.36</v>
      </c>
      <c r="D786" s="17">
        <f t="shared" si="53"/>
        <v>29485.839999999967</v>
      </c>
      <c r="E786" s="2">
        <f t="shared" si="52"/>
        <v>5.2631541368908671E-2</v>
      </c>
      <c r="F786" s="13" t="s">
        <v>1222</v>
      </c>
      <c r="G786" s="101" t="s">
        <v>550</v>
      </c>
      <c r="H786" s="18" t="s">
        <v>440</v>
      </c>
      <c r="I786" s="32" t="s">
        <v>831</v>
      </c>
      <c r="J786" s="124"/>
    </row>
    <row r="787" spans="1:10">
      <c r="A787" s="8" t="s">
        <v>1223</v>
      </c>
      <c r="B787" s="19">
        <v>75202140</v>
      </c>
      <c r="C787" s="19">
        <v>69947325.799999997</v>
      </c>
      <c r="D787" s="17">
        <f t="shared" si="53"/>
        <v>5254814.200000003</v>
      </c>
      <c r="E787" s="2">
        <f t="shared" si="52"/>
        <v>7.5125305219316957E-2</v>
      </c>
      <c r="F787" s="13" t="s">
        <v>1224</v>
      </c>
      <c r="G787" s="101" t="s">
        <v>550</v>
      </c>
      <c r="H787" s="20" t="s">
        <v>30</v>
      </c>
      <c r="I787" s="32" t="s">
        <v>31</v>
      </c>
      <c r="J787" s="124"/>
    </row>
    <row r="788" spans="1:10">
      <c r="A788" s="8" t="s">
        <v>80</v>
      </c>
      <c r="B788" s="19">
        <v>7769000</v>
      </c>
      <c r="C788" s="19">
        <v>7100000</v>
      </c>
      <c r="D788" s="17">
        <f t="shared" si="53"/>
        <v>669000</v>
      </c>
      <c r="E788" s="2">
        <f t="shared" si="52"/>
        <v>9.4225352112676061E-2</v>
      </c>
      <c r="F788" s="13" t="s">
        <v>1225</v>
      </c>
      <c r="G788" s="101" t="s">
        <v>550</v>
      </c>
      <c r="H788" s="20" t="s">
        <v>30</v>
      </c>
      <c r="I788" s="32" t="s">
        <v>1226</v>
      </c>
      <c r="J788" s="124"/>
    </row>
    <row r="789" spans="1:10">
      <c r="A789" s="122" t="s">
        <v>1227</v>
      </c>
      <c r="B789" s="122"/>
      <c r="C789" s="122"/>
      <c r="D789" s="122"/>
      <c r="E789" s="122"/>
      <c r="F789" s="122"/>
      <c r="G789" s="122"/>
      <c r="H789" s="122"/>
      <c r="I789" s="122"/>
      <c r="J789" s="123"/>
    </row>
    <row r="790" spans="1:10">
      <c r="A790" s="8" t="s">
        <v>224</v>
      </c>
      <c r="B790" s="19">
        <v>7559000</v>
      </c>
      <c r="C790" s="19">
        <v>7060000</v>
      </c>
      <c r="D790" s="17">
        <f t="shared" si="53"/>
        <v>499000</v>
      </c>
      <c r="E790" s="2">
        <f t="shared" si="52"/>
        <v>7.0679886685552404E-2</v>
      </c>
      <c r="F790" s="13" t="s">
        <v>1228</v>
      </c>
      <c r="G790" s="100" t="s">
        <v>595</v>
      </c>
      <c r="H790" s="20" t="s">
        <v>440</v>
      </c>
      <c r="I790" s="32"/>
      <c r="J790" s="157">
        <f>SUM(D790:D820)</f>
        <v>6881778</v>
      </c>
    </row>
    <row r="791" spans="1:10">
      <c r="A791" s="8" t="s">
        <v>438</v>
      </c>
      <c r="B791" s="19">
        <v>922583</v>
      </c>
      <c r="C791" s="19">
        <v>877935</v>
      </c>
      <c r="D791" s="17">
        <f t="shared" si="53"/>
        <v>44648</v>
      </c>
      <c r="E791" s="2">
        <f t="shared" si="52"/>
        <v>5.0855701162386739E-2</v>
      </c>
      <c r="F791" s="15" t="s">
        <v>1229</v>
      </c>
      <c r="G791" s="100" t="s">
        <v>595</v>
      </c>
      <c r="H791" s="18" t="s">
        <v>440</v>
      </c>
      <c r="I791" s="32" t="s">
        <v>831</v>
      </c>
      <c r="J791" s="158"/>
    </row>
    <row r="792" spans="1:10">
      <c r="A792" s="8" t="s">
        <v>438</v>
      </c>
      <c r="B792" s="19">
        <v>1523958</v>
      </c>
      <c r="C792" s="19">
        <v>1432638</v>
      </c>
      <c r="D792" s="17">
        <f t="shared" si="53"/>
        <v>91320</v>
      </c>
      <c r="E792" s="2">
        <f t="shared" si="52"/>
        <v>6.3742550455872307E-2</v>
      </c>
      <c r="F792" s="13" t="s">
        <v>1230</v>
      </c>
      <c r="G792" s="100" t="s">
        <v>595</v>
      </c>
      <c r="H792" s="18" t="s">
        <v>440</v>
      </c>
      <c r="I792" s="32" t="s">
        <v>831</v>
      </c>
      <c r="J792" s="158"/>
    </row>
    <row r="793" spans="1:10">
      <c r="A793" s="8" t="s">
        <v>438</v>
      </c>
      <c r="B793" s="19">
        <v>2551508</v>
      </c>
      <c r="C793" s="19">
        <v>2405624</v>
      </c>
      <c r="D793" s="17">
        <f t="shared" si="53"/>
        <v>145884</v>
      </c>
      <c r="E793" s="2">
        <f t="shared" si="52"/>
        <v>6.0642893486263852E-2</v>
      </c>
      <c r="F793" s="13" t="s">
        <v>1231</v>
      </c>
      <c r="G793" s="100" t="s">
        <v>595</v>
      </c>
      <c r="H793" s="18" t="s">
        <v>440</v>
      </c>
      <c r="I793" s="32" t="s">
        <v>831</v>
      </c>
      <c r="J793" s="158"/>
    </row>
    <row r="794" spans="1:10">
      <c r="A794" s="8" t="s">
        <v>858</v>
      </c>
      <c r="B794" s="19">
        <v>7356000</v>
      </c>
      <c r="C794" s="19">
        <v>7160760</v>
      </c>
      <c r="D794" s="17">
        <f t="shared" si="53"/>
        <v>195240</v>
      </c>
      <c r="E794" s="2">
        <f t="shared" si="52"/>
        <v>2.7265262346454846E-2</v>
      </c>
      <c r="F794" s="13" t="s">
        <v>1232</v>
      </c>
      <c r="G794" s="100" t="s">
        <v>595</v>
      </c>
      <c r="H794" s="20" t="s">
        <v>1124</v>
      </c>
      <c r="I794" s="32"/>
      <c r="J794" s="158"/>
    </row>
    <row r="795" spans="1:10">
      <c r="A795" t="s">
        <v>1233</v>
      </c>
      <c r="B795" s="25">
        <v>4866800</v>
      </c>
      <c r="C795" s="25">
        <v>4668000</v>
      </c>
      <c r="D795" s="17">
        <f t="shared" si="53"/>
        <v>198800</v>
      </c>
      <c r="E795" s="2">
        <f t="shared" si="52"/>
        <v>4.2587832047986288E-2</v>
      </c>
      <c r="F795" s="13" t="s">
        <v>1234</v>
      </c>
      <c r="G795" s="100" t="s">
        <v>595</v>
      </c>
      <c r="H795" s="20" t="s">
        <v>30</v>
      </c>
      <c r="I795" s="32" t="s">
        <v>1235</v>
      </c>
      <c r="J795" s="158"/>
    </row>
    <row r="796" spans="1:10">
      <c r="A796" s="8" t="s">
        <v>1117</v>
      </c>
      <c r="B796" s="19">
        <v>3120000</v>
      </c>
      <c r="C796" s="19">
        <v>2735000</v>
      </c>
      <c r="D796" s="17">
        <f t="shared" si="53"/>
        <v>385000</v>
      </c>
      <c r="E796" s="2">
        <f t="shared" si="52"/>
        <v>0.14076782449725778</v>
      </c>
      <c r="F796" s="13" t="s">
        <v>1236</v>
      </c>
      <c r="G796" s="100" t="s">
        <v>595</v>
      </c>
      <c r="H796" s="20" t="s">
        <v>30</v>
      </c>
      <c r="I796" s="32" t="s">
        <v>1003</v>
      </c>
      <c r="J796" s="158"/>
    </row>
    <row r="797" spans="1:10" ht="15.75">
      <c r="A797" s="8" t="s">
        <v>1237</v>
      </c>
      <c r="B797" s="19">
        <v>1800000</v>
      </c>
      <c r="C797" s="19">
        <v>1700000</v>
      </c>
      <c r="D797" s="17">
        <f t="shared" si="53"/>
        <v>100000</v>
      </c>
      <c r="E797" s="2">
        <f t="shared" si="52"/>
        <v>5.8823529411764705E-2</v>
      </c>
      <c r="F797" s="87" t="s">
        <v>1238</v>
      </c>
      <c r="G797" s="100" t="s">
        <v>595</v>
      </c>
      <c r="H797" s="18" t="s">
        <v>440</v>
      </c>
      <c r="I797" s="32" t="s">
        <v>831</v>
      </c>
      <c r="J797" s="158"/>
    </row>
    <row r="798" spans="1:10" ht="15.75">
      <c r="A798" s="8" t="s">
        <v>1237</v>
      </c>
      <c r="B798" s="19">
        <v>8380000</v>
      </c>
      <c r="C798" s="19">
        <v>7940000</v>
      </c>
      <c r="D798" s="17">
        <f t="shared" si="53"/>
        <v>440000</v>
      </c>
      <c r="E798" s="44">
        <f t="shared" si="52"/>
        <v>5.5415617128463476E-2</v>
      </c>
      <c r="F798" s="88" t="s">
        <v>1239</v>
      </c>
      <c r="G798" s="100" t="s">
        <v>595</v>
      </c>
      <c r="H798" s="18" t="s">
        <v>440</v>
      </c>
      <c r="I798" s="32" t="s">
        <v>831</v>
      </c>
      <c r="J798" s="158"/>
    </row>
    <row r="799" spans="1:10">
      <c r="A799" s="8" t="s">
        <v>457</v>
      </c>
      <c r="B799" s="19">
        <v>1036365</v>
      </c>
      <c r="C799" s="19">
        <v>977983</v>
      </c>
      <c r="D799" s="17">
        <f t="shared" si="53"/>
        <v>58382</v>
      </c>
      <c r="E799" s="2">
        <f t="shared" si="52"/>
        <v>5.9696334189858105E-2</v>
      </c>
      <c r="F799" s="12" t="s">
        <v>1240</v>
      </c>
      <c r="G799" s="100" t="s">
        <v>595</v>
      </c>
      <c r="H799" s="18" t="s">
        <v>440</v>
      </c>
      <c r="I799" s="32" t="s">
        <v>831</v>
      </c>
      <c r="J799" s="158"/>
    </row>
    <row r="800" spans="1:10">
      <c r="A800" s="8" t="s">
        <v>1241</v>
      </c>
      <c r="B800" s="19">
        <v>1165000</v>
      </c>
      <c r="C800" s="19">
        <v>905000</v>
      </c>
      <c r="D800" s="17">
        <f t="shared" si="53"/>
        <v>260000</v>
      </c>
      <c r="E800" s="2">
        <f t="shared" si="52"/>
        <v>0.287292817679558</v>
      </c>
      <c r="F800" s="13" t="s">
        <v>1242</v>
      </c>
      <c r="G800" s="100" t="s">
        <v>595</v>
      </c>
      <c r="H800" s="20" t="s">
        <v>587</v>
      </c>
      <c r="I800" s="21"/>
      <c r="J800" s="158"/>
    </row>
    <row r="801" spans="1:10">
      <c r="A801" s="54" t="s">
        <v>1117</v>
      </c>
      <c r="B801" s="55">
        <v>3550000</v>
      </c>
      <c r="C801" s="55">
        <v>3475000</v>
      </c>
      <c r="D801" s="17">
        <f t="shared" si="53"/>
        <v>75000</v>
      </c>
      <c r="E801" s="2">
        <f t="shared" si="52"/>
        <v>2.1582733812949641E-2</v>
      </c>
      <c r="F801" s="13" t="s">
        <v>1243</v>
      </c>
      <c r="G801" s="100" t="s">
        <v>595</v>
      </c>
      <c r="H801" s="20" t="s">
        <v>584</v>
      </c>
      <c r="I801" s="21" t="s">
        <v>1244</v>
      </c>
      <c r="J801" s="158"/>
    </row>
    <row r="802" spans="1:10">
      <c r="A802" s="8" t="s">
        <v>977</v>
      </c>
      <c r="B802" s="19">
        <v>13445200</v>
      </c>
      <c r="C802" s="19">
        <v>12638490</v>
      </c>
      <c r="D802" s="17">
        <f t="shared" si="53"/>
        <v>806710</v>
      </c>
      <c r="E802" s="2">
        <f t="shared" si="52"/>
        <v>6.3829618886433431E-2</v>
      </c>
      <c r="F802" s="13" t="s">
        <v>1245</v>
      </c>
      <c r="G802" s="100" t="s">
        <v>595</v>
      </c>
      <c r="H802" s="18" t="s">
        <v>440</v>
      </c>
      <c r="I802" s="32" t="s">
        <v>831</v>
      </c>
      <c r="J802" s="158"/>
    </row>
    <row r="803" spans="1:10">
      <c r="A803" s="8" t="s">
        <v>870</v>
      </c>
      <c r="B803" s="19">
        <v>13445200</v>
      </c>
      <c r="C803" s="19">
        <v>12638490</v>
      </c>
      <c r="D803" s="17">
        <f t="shared" si="53"/>
        <v>806710</v>
      </c>
      <c r="E803" s="2">
        <f t="shared" si="52"/>
        <v>6.3829618886433431E-2</v>
      </c>
      <c r="F803" s="13" t="s">
        <v>1246</v>
      </c>
      <c r="G803" s="100" t="s">
        <v>595</v>
      </c>
      <c r="H803" s="18" t="s">
        <v>440</v>
      </c>
      <c r="I803" s="32" t="s">
        <v>831</v>
      </c>
      <c r="J803" s="158"/>
    </row>
    <row r="804" spans="1:10">
      <c r="A804" s="8" t="s">
        <v>1247</v>
      </c>
      <c r="B804" s="19">
        <v>2560000</v>
      </c>
      <c r="C804" s="19">
        <v>2064000</v>
      </c>
      <c r="D804" s="17">
        <f t="shared" si="53"/>
        <v>496000</v>
      </c>
      <c r="E804" s="2">
        <f t="shared" si="52"/>
        <v>0.24031007751937986</v>
      </c>
      <c r="F804" s="13" t="s">
        <v>1248</v>
      </c>
      <c r="G804" s="100" t="s">
        <v>595</v>
      </c>
      <c r="H804" s="20" t="s">
        <v>89</v>
      </c>
      <c r="I804" s="21"/>
      <c r="J804" s="158"/>
    </row>
    <row r="805" spans="1:10">
      <c r="A805" s="8" t="s">
        <v>900</v>
      </c>
      <c r="B805" s="19">
        <v>2382889</v>
      </c>
      <c r="C805" s="19">
        <v>2231488</v>
      </c>
      <c r="D805" s="17">
        <f t="shared" si="53"/>
        <v>151401</v>
      </c>
      <c r="E805" s="2">
        <f t="shared" si="52"/>
        <v>6.7847552843663061E-2</v>
      </c>
      <c r="F805" s="14" t="s">
        <v>406</v>
      </c>
      <c r="G805" s="100" t="s">
        <v>595</v>
      </c>
      <c r="H805" s="18" t="s">
        <v>440</v>
      </c>
      <c r="I805" s="21" t="s">
        <v>1249</v>
      </c>
      <c r="J805" s="158"/>
    </row>
    <row r="806" spans="1:10">
      <c r="A806" s="8" t="s">
        <v>783</v>
      </c>
      <c r="B806" s="19">
        <v>2792400</v>
      </c>
      <c r="C806" s="19">
        <v>2714400</v>
      </c>
      <c r="D806" s="17">
        <f t="shared" si="53"/>
        <v>78000</v>
      </c>
      <c r="E806" s="44">
        <f t="shared" si="52"/>
        <v>2.8735632183908046E-2</v>
      </c>
      <c r="F806" s="71" t="s">
        <v>1250</v>
      </c>
      <c r="G806" s="100" t="s">
        <v>595</v>
      </c>
      <c r="H806" s="18" t="s">
        <v>440</v>
      </c>
      <c r="I806" s="32" t="s">
        <v>831</v>
      </c>
      <c r="J806" s="158"/>
    </row>
    <row r="807" spans="1:10">
      <c r="A807" s="8" t="s">
        <v>783</v>
      </c>
      <c r="B807" s="19">
        <v>765204</v>
      </c>
      <c r="C807" s="19">
        <v>720192</v>
      </c>
      <c r="D807" s="17">
        <f t="shared" si="53"/>
        <v>45012</v>
      </c>
      <c r="E807" s="44">
        <f t="shared" si="52"/>
        <v>6.25E-2</v>
      </c>
      <c r="F807" s="71" t="s">
        <v>1251</v>
      </c>
      <c r="G807" s="100" t="s">
        <v>595</v>
      </c>
      <c r="H807" s="18" t="s">
        <v>440</v>
      </c>
      <c r="I807" s="32" t="s">
        <v>831</v>
      </c>
      <c r="J807" s="158"/>
    </row>
    <row r="808" spans="1:10">
      <c r="A808" s="8" t="s">
        <v>783</v>
      </c>
      <c r="B808" s="19">
        <v>2338141</v>
      </c>
      <c r="C808" s="19">
        <v>2272551</v>
      </c>
      <c r="D808" s="17">
        <f t="shared" si="53"/>
        <v>65590</v>
      </c>
      <c r="E808" s="44">
        <f t="shared" si="52"/>
        <v>2.8861838524195937E-2</v>
      </c>
      <c r="F808" s="71" t="s">
        <v>1252</v>
      </c>
      <c r="G808" s="100" t="s">
        <v>595</v>
      </c>
      <c r="H808" s="18" t="s">
        <v>440</v>
      </c>
      <c r="I808" s="32" t="s">
        <v>831</v>
      </c>
      <c r="J808" s="158"/>
    </row>
    <row r="809" spans="1:10">
      <c r="A809" s="8" t="s">
        <v>783</v>
      </c>
      <c r="B809" s="19">
        <v>1580038</v>
      </c>
      <c r="C809" s="19">
        <v>1492256</v>
      </c>
      <c r="D809" s="17">
        <f t="shared" si="53"/>
        <v>87782</v>
      </c>
      <c r="E809" s="44">
        <f t="shared" si="52"/>
        <v>5.882502734115326E-2</v>
      </c>
      <c r="F809" s="71" t="s">
        <v>1253</v>
      </c>
      <c r="G809" s="100" t="s">
        <v>595</v>
      </c>
      <c r="H809" s="18" t="s">
        <v>440</v>
      </c>
      <c r="I809" s="32" t="s">
        <v>831</v>
      </c>
      <c r="J809" s="158"/>
    </row>
    <row r="810" spans="1:10">
      <c r="A810" s="8" t="s">
        <v>1254</v>
      </c>
      <c r="B810" s="19">
        <v>5970000</v>
      </c>
      <c r="C810" s="19">
        <v>5180000</v>
      </c>
      <c r="D810" s="17">
        <f t="shared" si="53"/>
        <v>790000</v>
      </c>
      <c r="E810" s="2">
        <f t="shared" si="52"/>
        <v>0.15250965250965251</v>
      </c>
      <c r="F810" s="12" t="s">
        <v>1255</v>
      </c>
      <c r="G810" s="100" t="s">
        <v>595</v>
      </c>
      <c r="H810" s="20" t="s">
        <v>440</v>
      </c>
      <c r="I810" s="21" t="s">
        <v>1256</v>
      </c>
      <c r="J810" s="158"/>
    </row>
    <row r="811" spans="1:10">
      <c r="A811" s="8" t="s">
        <v>1094</v>
      </c>
      <c r="B811" s="19">
        <v>3176740</v>
      </c>
      <c r="C811" s="19">
        <v>3113200</v>
      </c>
      <c r="D811" s="17">
        <f t="shared" si="53"/>
        <v>63540</v>
      </c>
      <c r="E811" s="2">
        <f t="shared" si="52"/>
        <v>2.0409867660285238E-2</v>
      </c>
      <c r="F811" s="14" t="s">
        <v>1257</v>
      </c>
      <c r="G811" s="100" t="s">
        <v>595</v>
      </c>
      <c r="H811" s="90" t="s">
        <v>440</v>
      </c>
      <c r="I811" s="34" t="s">
        <v>831</v>
      </c>
      <c r="J811" s="158"/>
    </row>
    <row r="812" spans="1:10">
      <c r="A812" s="8" t="s">
        <v>1094</v>
      </c>
      <c r="B812" s="19">
        <v>3176740</v>
      </c>
      <c r="C812" s="19">
        <v>3113200</v>
      </c>
      <c r="D812" s="17">
        <f t="shared" si="53"/>
        <v>63540</v>
      </c>
      <c r="E812" s="44">
        <f t="shared" si="52"/>
        <v>2.0409867660285238E-2</v>
      </c>
      <c r="F812" s="91" t="s">
        <v>1258</v>
      </c>
      <c r="G812" s="100" t="s">
        <v>595</v>
      </c>
      <c r="H812" s="21" t="s">
        <v>440</v>
      </c>
      <c r="I812" s="21" t="s">
        <v>831</v>
      </c>
      <c r="J812" s="158"/>
    </row>
    <row r="813" spans="1:10">
      <c r="A813" s="8" t="s">
        <v>1094</v>
      </c>
      <c r="B813" s="19">
        <v>1102120</v>
      </c>
      <c r="C813" s="19">
        <v>1069060</v>
      </c>
      <c r="D813" s="17">
        <f t="shared" si="53"/>
        <v>33060</v>
      </c>
      <c r="E813" s="44">
        <f t="shared" si="52"/>
        <v>3.0924363459487774E-2</v>
      </c>
      <c r="F813" s="91" t="s">
        <v>1259</v>
      </c>
      <c r="G813" s="100" t="s">
        <v>595</v>
      </c>
      <c r="H813" s="21" t="s">
        <v>440</v>
      </c>
      <c r="I813" s="21" t="s">
        <v>831</v>
      </c>
      <c r="J813" s="158"/>
    </row>
    <row r="814" spans="1:10">
      <c r="A814" s="8" t="s">
        <v>1094</v>
      </c>
      <c r="B814" s="19">
        <v>686520</v>
      </c>
      <c r="C814" s="19">
        <v>665930</v>
      </c>
      <c r="D814" s="17">
        <f t="shared" si="53"/>
        <v>20590</v>
      </c>
      <c r="E814" s="44">
        <f t="shared" si="52"/>
        <v>3.0919165678074272E-2</v>
      </c>
      <c r="F814" s="91" t="s">
        <v>1260</v>
      </c>
      <c r="G814" s="100" t="s">
        <v>595</v>
      </c>
      <c r="H814" s="21" t="s">
        <v>440</v>
      </c>
      <c r="I814" s="21" t="s">
        <v>831</v>
      </c>
      <c r="J814" s="158"/>
    </row>
    <row r="815" spans="1:10">
      <c r="A815" s="9" t="s">
        <v>1094</v>
      </c>
      <c r="B815" s="22">
        <v>6931680</v>
      </c>
      <c r="C815" s="22">
        <v>6793050</v>
      </c>
      <c r="D815" s="35">
        <f t="shared" si="53"/>
        <v>138630</v>
      </c>
      <c r="E815" s="77">
        <f t="shared" si="52"/>
        <v>2.0407622496522181E-2</v>
      </c>
      <c r="F815" s="94" t="s">
        <v>1261</v>
      </c>
      <c r="G815" s="100" t="s">
        <v>595</v>
      </c>
      <c r="H815" s="21" t="s">
        <v>440</v>
      </c>
      <c r="I815" s="21" t="s">
        <v>831</v>
      </c>
      <c r="J815" s="158"/>
    </row>
    <row r="816" spans="1:10" ht="15.75">
      <c r="A816" s="166" t="s">
        <v>1103</v>
      </c>
      <c r="B816" s="167">
        <v>1730000</v>
      </c>
      <c r="C816" s="167">
        <v>1600000</v>
      </c>
      <c r="D816" s="167">
        <f t="shared" si="53"/>
        <v>130000</v>
      </c>
      <c r="E816" s="168">
        <f t="shared" si="52"/>
        <v>8.1250000000000003E-2</v>
      </c>
      <c r="F816" s="92" t="s">
        <v>1262</v>
      </c>
      <c r="G816" s="100" t="s">
        <v>595</v>
      </c>
      <c r="H816" s="21" t="s">
        <v>440</v>
      </c>
      <c r="I816" s="21" t="s">
        <v>831</v>
      </c>
      <c r="J816" s="158"/>
    </row>
    <row r="817" spans="1:10" ht="15.75">
      <c r="A817" s="166" t="s">
        <v>1103</v>
      </c>
      <c r="B817" s="167">
        <v>3462000</v>
      </c>
      <c r="C817" s="167">
        <v>3250000</v>
      </c>
      <c r="D817" s="167">
        <f t="shared" si="53"/>
        <v>212000</v>
      </c>
      <c r="E817" s="168">
        <f t="shared" si="52"/>
        <v>6.5230769230769231E-2</v>
      </c>
      <c r="F817" s="92" t="s">
        <v>1263</v>
      </c>
      <c r="G817" s="100" t="s">
        <v>595</v>
      </c>
      <c r="H817" s="21" t="s">
        <v>440</v>
      </c>
      <c r="I817" s="21" t="s">
        <v>831</v>
      </c>
      <c r="J817" s="158"/>
    </row>
    <row r="818" spans="1:10" ht="15.75">
      <c r="A818" s="166" t="s">
        <v>1103</v>
      </c>
      <c r="B818" s="167">
        <v>4865000</v>
      </c>
      <c r="C818" s="167">
        <v>4600000</v>
      </c>
      <c r="D818" s="167">
        <f t="shared" si="53"/>
        <v>265000</v>
      </c>
      <c r="E818" s="168">
        <f t="shared" si="52"/>
        <v>5.7608695652173914E-2</v>
      </c>
      <c r="F818" s="92" t="s">
        <v>1263</v>
      </c>
      <c r="G818" s="100" t="s">
        <v>595</v>
      </c>
      <c r="H818" s="21" t="s">
        <v>440</v>
      </c>
      <c r="I818" s="21" t="s">
        <v>831</v>
      </c>
      <c r="J818" s="158"/>
    </row>
    <row r="819" spans="1:10" ht="15.75">
      <c r="A819" s="166" t="s">
        <v>457</v>
      </c>
      <c r="B819" s="167">
        <v>632647</v>
      </c>
      <c r="C819" s="167">
        <v>597681</v>
      </c>
      <c r="D819" s="167">
        <f t="shared" si="53"/>
        <v>34966</v>
      </c>
      <c r="E819" s="168">
        <f t="shared" si="52"/>
        <v>5.8502779911022769E-2</v>
      </c>
      <c r="F819" s="92" t="s">
        <v>1264</v>
      </c>
      <c r="G819" s="100" t="s">
        <v>595</v>
      </c>
      <c r="H819" s="21" t="s">
        <v>440</v>
      </c>
      <c r="I819" s="21" t="s">
        <v>831</v>
      </c>
      <c r="J819" s="158"/>
    </row>
    <row r="820" spans="1:10" ht="48.75">
      <c r="A820" s="166" t="s">
        <v>457</v>
      </c>
      <c r="B820" s="167">
        <v>3498576</v>
      </c>
      <c r="C820" s="167">
        <v>3398603</v>
      </c>
      <c r="D820" s="167">
        <f t="shared" si="53"/>
        <v>99973</v>
      </c>
      <c r="E820" s="168">
        <f t="shared" si="52"/>
        <v>2.9415910007729647E-2</v>
      </c>
      <c r="F820" s="93" t="s">
        <v>1265</v>
      </c>
      <c r="G820" s="100" t="s">
        <v>595</v>
      </c>
      <c r="H820" s="21" t="s">
        <v>440</v>
      </c>
      <c r="I820" s="21" t="s">
        <v>831</v>
      </c>
      <c r="J820" s="159"/>
    </row>
    <row r="821" spans="1:10" ht="15.75" customHeight="1">
      <c r="A821" s="122" t="s">
        <v>1266</v>
      </c>
      <c r="B821" s="122"/>
      <c r="C821" s="122"/>
      <c r="D821" s="122"/>
      <c r="E821" s="122"/>
      <c r="F821" s="122"/>
      <c r="G821" s="122"/>
      <c r="H821" s="122"/>
      <c r="I821" s="122"/>
      <c r="J821" s="123"/>
    </row>
    <row r="822" spans="1:10">
      <c r="A822" s="7" t="s">
        <v>1127</v>
      </c>
      <c r="B822" s="17">
        <v>4049054</v>
      </c>
      <c r="C822" s="17">
        <v>3482186.44</v>
      </c>
      <c r="D822" s="17">
        <f t="shared" si="53"/>
        <v>566867.56000000006</v>
      </c>
      <c r="E822" s="1">
        <f t="shared" si="52"/>
        <v>0.16279069767441862</v>
      </c>
      <c r="F822" s="12" t="s">
        <v>1267</v>
      </c>
      <c r="G822" s="102" t="s">
        <v>656</v>
      </c>
      <c r="H822" s="21" t="s">
        <v>30</v>
      </c>
      <c r="I822" s="32" t="s">
        <v>1268</v>
      </c>
      <c r="J822" s="124">
        <f>SUM(D822:D834)</f>
        <v>20693700.560000002</v>
      </c>
    </row>
    <row r="823" spans="1:10">
      <c r="A823" t="s">
        <v>1173</v>
      </c>
      <c r="B823" s="25">
        <v>4997000</v>
      </c>
      <c r="C823" s="25">
        <v>4656000</v>
      </c>
      <c r="D823" s="17">
        <f t="shared" si="53"/>
        <v>341000</v>
      </c>
      <c r="E823" s="1">
        <f t="shared" si="52"/>
        <v>7.3238831615120278E-2</v>
      </c>
      <c r="F823" s="13" t="s">
        <v>1269</v>
      </c>
      <c r="G823" s="102" t="s">
        <v>656</v>
      </c>
      <c r="H823" s="21" t="s">
        <v>855</v>
      </c>
      <c r="I823" s="32" t="s">
        <v>828</v>
      </c>
      <c r="J823" s="124"/>
    </row>
    <row r="824" spans="1:10">
      <c r="A824" s="8" t="s">
        <v>1270</v>
      </c>
      <c r="B824" s="19">
        <v>15382798</v>
      </c>
      <c r="C824" s="19">
        <v>13967789</v>
      </c>
      <c r="D824" s="17">
        <f t="shared" si="53"/>
        <v>1415009</v>
      </c>
      <c r="E824" s="2">
        <f t="shared" si="52"/>
        <v>0.10130515287709457</v>
      </c>
      <c r="F824" s="13" t="s">
        <v>1271</v>
      </c>
      <c r="G824" s="102" t="s">
        <v>656</v>
      </c>
      <c r="H824" s="21" t="s">
        <v>400</v>
      </c>
      <c r="I824" s="32" t="s">
        <v>1226</v>
      </c>
      <c r="J824" s="124"/>
    </row>
    <row r="825" spans="1:10">
      <c r="A825" s="8" t="s">
        <v>1173</v>
      </c>
      <c r="B825" s="19">
        <v>7970000</v>
      </c>
      <c r="C825" s="19">
        <v>7150000</v>
      </c>
      <c r="D825" s="17">
        <f t="shared" si="53"/>
        <v>820000</v>
      </c>
      <c r="E825" s="2">
        <f t="shared" si="52"/>
        <v>0.11468531468531469</v>
      </c>
      <c r="F825" s="13" t="s">
        <v>1272</v>
      </c>
      <c r="G825" s="102" t="s">
        <v>656</v>
      </c>
      <c r="H825" s="21" t="s">
        <v>584</v>
      </c>
      <c r="I825" s="32" t="s">
        <v>1003</v>
      </c>
      <c r="J825" s="124"/>
    </row>
    <row r="826" spans="1:10">
      <c r="A826" s="8" t="s">
        <v>1273</v>
      </c>
      <c r="B826" s="19">
        <v>6550000</v>
      </c>
      <c r="C826" s="19">
        <v>6000000</v>
      </c>
      <c r="D826" s="17">
        <f t="shared" si="53"/>
        <v>550000</v>
      </c>
      <c r="E826" s="2">
        <f t="shared" si="52"/>
        <v>9.166666666666666E-2</v>
      </c>
      <c r="F826" s="13" t="s">
        <v>1272</v>
      </c>
      <c r="G826" s="102" t="s">
        <v>656</v>
      </c>
      <c r="H826" s="21" t="s">
        <v>855</v>
      </c>
      <c r="I826" s="32"/>
      <c r="J826" s="124"/>
    </row>
    <row r="827" spans="1:10">
      <c r="A827" s="26" t="s">
        <v>1274</v>
      </c>
      <c r="B827" s="27">
        <v>15829100</v>
      </c>
      <c r="C827" s="27">
        <v>13214700</v>
      </c>
      <c r="D827" s="58">
        <f>B827-C827</f>
        <v>2614400</v>
      </c>
      <c r="E827" s="62">
        <f>(B827-C827)/C827</f>
        <v>0.19784028392623365</v>
      </c>
      <c r="F827" s="13" t="s">
        <v>1275</v>
      </c>
      <c r="G827" s="102" t="s">
        <v>656</v>
      </c>
      <c r="H827" s="21" t="s">
        <v>855</v>
      </c>
      <c r="I827" s="32" t="s">
        <v>1276</v>
      </c>
      <c r="J827" s="124"/>
    </row>
    <row r="828" spans="1:10">
      <c r="A828" s="8" t="s">
        <v>1011</v>
      </c>
      <c r="B828" s="19">
        <v>265661500</v>
      </c>
      <c r="C828" s="19">
        <v>252378425</v>
      </c>
      <c r="D828" s="17">
        <f t="shared" si="53"/>
        <v>13283075</v>
      </c>
      <c r="E828" s="2">
        <f t="shared" si="52"/>
        <v>5.2631578947368418E-2</v>
      </c>
      <c r="F828" s="13" t="s">
        <v>640</v>
      </c>
      <c r="G828" s="102" t="s">
        <v>656</v>
      </c>
      <c r="H828" s="21" t="s">
        <v>30</v>
      </c>
      <c r="I828" s="32" t="s">
        <v>1013</v>
      </c>
      <c r="J828" s="124"/>
    </row>
    <row r="829" spans="1:10">
      <c r="A829" s="8" t="s">
        <v>919</v>
      </c>
      <c r="B829" s="19">
        <v>2832863</v>
      </c>
      <c r="C829" s="19">
        <v>2573615</v>
      </c>
      <c r="D829" s="17">
        <f t="shared" si="53"/>
        <v>259248</v>
      </c>
      <c r="E829" s="2">
        <f t="shared" si="52"/>
        <v>0.10073301562199474</v>
      </c>
      <c r="F829" s="13" t="s">
        <v>1277</v>
      </c>
      <c r="G829" s="102" t="s">
        <v>656</v>
      </c>
      <c r="H829" s="21" t="s">
        <v>587</v>
      </c>
      <c r="J829" s="124"/>
    </row>
    <row r="830" spans="1:10" ht="17.25">
      <c r="A830" s="8" t="s">
        <v>1278</v>
      </c>
      <c r="B830" s="19">
        <v>670000</v>
      </c>
      <c r="C830" s="19">
        <v>620000</v>
      </c>
      <c r="D830" s="17">
        <f t="shared" si="53"/>
        <v>50000</v>
      </c>
      <c r="E830" s="2">
        <f t="shared" si="52"/>
        <v>8.0645161290322578E-2</v>
      </c>
      <c r="F830" s="95" t="s">
        <v>1279</v>
      </c>
      <c r="G830" s="102" t="s">
        <v>656</v>
      </c>
      <c r="H830" s="21" t="s">
        <v>30</v>
      </c>
      <c r="I830" s="32" t="s">
        <v>618</v>
      </c>
      <c r="J830" s="124"/>
    </row>
    <row r="831" spans="1:10">
      <c r="A831" s="8" t="s">
        <v>507</v>
      </c>
      <c r="B831" s="19">
        <v>1178754</v>
      </c>
      <c r="C831" s="19">
        <v>1079938</v>
      </c>
      <c r="D831" s="17">
        <f t="shared" si="53"/>
        <v>98816</v>
      </c>
      <c r="E831" s="2">
        <f t="shared" si="52"/>
        <v>9.1501549163007512E-2</v>
      </c>
      <c r="F831" s="13" t="s">
        <v>1280</v>
      </c>
      <c r="G831" s="102" t="s">
        <v>656</v>
      </c>
      <c r="H831" s="21"/>
      <c r="I831" s="32" t="s">
        <v>1281</v>
      </c>
      <c r="J831" s="124"/>
    </row>
    <row r="832" spans="1:10">
      <c r="A832" s="8" t="s">
        <v>457</v>
      </c>
      <c r="B832" s="19">
        <v>6179734</v>
      </c>
      <c r="C832" s="19">
        <v>6061136</v>
      </c>
      <c r="D832" s="17">
        <f t="shared" si="53"/>
        <v>118598</v>
      </c>
      <c r="E832" s="2">
        <f t="shared" si="52"/>
        <v>1.9566959065099348E-2</v>
      </c>
      <c r="F832" s="13" t="s">
        <v>1282</v>
      </c>
      <c r="G832" s="102" t="s">
        <v>656</v>
      </c>
      <c r="H832" s="21"/>
      <c r="I832" s="32" t="s">
        <v>1283</v>
      </c>
      <c r="J832" s="124"/>
    </row>
    <row r="833" spans="1:10">
      <c r="A833" s="8" t="s">
        <v>395</v>
      </c>
      <c r="B833" s="19">
        <v>5849300</v>
      </c>
      <c r="C833" s="19">
        <v>5458854</v>
      </c>
      <c r="D833" s="17">
        <f t="shared" ref="D833" si="54">B833-C833</f>
        <v>390446</v>
      </c>
      <c r="E833" s="2">
        <f t="shared" ref="E833" si="55">(B833-C833)/C833</f>
        <v>7.1525268856796678E-2</v>
      </c>
      <c r="F833" s="13" t="s">
        <v>1284</v>
      </c>
      <c r="G833" s="102" t="s">
        <v>656</v>
      </c>
      <c r="H833" s="21" t="s">
        <v>30</v>
      </c>
      <c r="I833" s="32"/>
      <c r="J833" s="124"/>
    </row>
    <row r="834" spans="1:10">
      <c r="A834" s="9" t="s">
        <v>853</v>
      </c>
      <c r="B834" s="22">
        <v>3111000</v>
      </c>
      <c r="C834" s="22">
        <v>2924759</v>
      </c>
      <c r="D834" s="35">
        <f t="shared" si="53"/>
        <v>186241</v>
      </c>
      <c r="E834" s="3">
        <f t="shared" si="52"/>
        <v>6.3677383333122492E-2</v>
      </c>
      <c r="F834" s="14" t="s">
        <v>1285</v>
      </c>
      <c r="G834" s="112" t="s">
        <v>656</v>
      </c>
      <c r="H834" s="49"/>
      <c r="I834" s="34" t="s">
        <v>1283</v>
      </c>
      <c r="J834" s="127"/>
    </row>
    <row r="835" spans="1:10">
      <c r="A835" s="160" t="s">
        <v>1286</v>
      </c>
      <c r="B835" s="160"/>
      <c r="C835" s="160"/>
      <c r="D835" s="160"/>
      <c r="E835" s="160"/>
      <c r="F835" s="160"/>
      <c r="G835" s="160"/>
      <c r="H835" s="160"/>
      <c r="I835" s="160"/>
      <c r="J835" s="160"/>
    </row>
    <row r="836" spans="1:10">
      <c r="A836" s="56" t="s">
        <v>438</v>
      </c>
      <c r="B836" s="57">
        <v>991625</v>
      </c>
      <c r="C836" s="97">
        <v>963293</v>
      </c>
      <c r="D836" s="81">
        <f t="shared" si="53"/>
        <v>28332</v>
      </c>
      <c r="E836" s="1">
        <f t="shared" si="52"/>
        <v>2.94116120432724E-2</v>
      </c>
      <c r="F836" s="98" t="s">
        <v>1287</v>
      </c>
      <c r="G836" s="113" t="s">
        <v>696</v>
      </c>
      <c r="H836" s="114"/>
      <c r="I836" s="98" t="s">
        <v>1288</v>
      </c>
      <c r="J836" s="129">
        <f>SUM(D836:D840)</f>
        <v>40657529</v>
      </c>
    </row>
    <row r="837" spans="1:10">
      <c r="A837" s="8" t="s">
        <v>1055</v>
      </c>
      <c r="B837" s="19">
        <v>2295000</v>
      </c>
      <c r="C837" s="19">
        <v>1845000</v>
      </c>
      <c r="D837" s="17">
        <f t="shared" si="53"/>
        <v>450000</v>
      </c>
      <c r="E837" s="2">
        <f t="shared" si="52"/>
        <v>0.24390243902439024</v>
      </c>
      <c r="F837" s="13" t="s">
        <v>1289</v>
      </c>
      <c r="G837" s="102" t="s">
        <v>696</v>
      </c>
      <c r="H837" s="21" t="s">
        <v>855</v>
      </c>
      <c r="I837" s="32"/>
      <c r="J837" s="124"/>
    </row>
    <row r="838" spans="1:10">
      <c r="A838" s="54" t="s">
        <v>1290</v>
      </c>
      <c r="B838" s="96">
        <v>63500514</v>
      </c>
      <c r="C838" s="55">
        <v>24399684</v>
      </c>
      <c r="D838" s="27">
        <f t="shared" si="53"/>
        <v>39100830</v>
      </c>
      <c r="E838" s="110">
        <f>(B838-C838)/C838</f>
        <v>1.6025137866539583</v>
      </c>
      <c r="F838" s="13" t="s">
        <v>1054</v>
      </c>
      <c r="G838" s="83" t="s">
        <v>696</v>
      </c>
      <c r="H838" s="21" t="s">
        <v>855</v>
      </c>
      <c r="I838" s="32" t="s">
        <v>831</v>
      </c>
      <c r="J838" s="124"/>
    </row>
    <row r="839" spans="1:10">
      <c r="A839" s="8" t="s">
        <v>1117</v>
      </c>
      <c r="B839" s="19">
        <v>2050000</v>
      </c>
      <c r="C839" s="19">
        <v>1980000</v>
      </c>
      <c r="D839" s="17">
        <f t="shared" si="53"/>
        <v>70000</v>
      </c>
      <c r="E839" s="2">
        <f t="shared" si="52"/>
        <v>3.5353535353535352E-2</v>
      </c>
      <c r="F839" s="13" t="s">
        <v>1291</v>
      </c>
      <c r="G839" s="83" t="s">
        <v>696</v>
      </c>
      <c r="H839" s="21" t="s">
        <v>30</v>
      </c>
      <c r="I839" s="32" t="s">
        <v>1292</v>
      </c>
      <c r="J839" s="124"/>
    </row>
    <row r="840" spans="1:10">
      <c r="A840" s="8" t="s">
        <v>1293</v>
      </c>
      <c r="B840" s="19">
        <v>19145500</v>
      </c>
      <c r="C840" s="19">
        <v>18137133</v>
      </c>
      <c r="D840" s="17">
        <f t="shared" si="53"/>
        <v>1008367</v>
      </c>
      <c r="E840" s="2">
        <f t="shared" si="52"/>
        <v>5.5596824481576004E-2</v>
      </c>
      <c r="F840" s="13" t="s">
        <v>1294</v>
      </c>
      <c r="G840" s="83" t="s">
        <v>696</v>
      </c>
      <c r="H840" s="21" t="s">
        <v>855</v>
      </c>
      <c r="I840" s="32"/>
      <c r="J840" s="124"/>
    </row>
    <row r="841" spans="1:10" ht="61.5">
      <c r="A841" s="126">
        <v>2026</v>
      </c>
      <c r="B841" s="126"/>
      <c r="C841" s="126"/>
      <c r="D841" s="126"/>
      <c r="E841" s="126"/>
      <c r="F841" s="126"/>
      <c r="G841" s="126"/>
      <c r="H841" s="126"/>
      <c r="I841" s="126"/>
      <c r="J841" s="126"/>
    </row>
    <row r="842" spans="1:10">
      <c r="A842" s="6" t="s">
        <v>0</v>
      </c>
      <c r="B842" s="16" t="s">
        <v>1</v>
      </c>
      <c r="C842" s="16" t="s">
        <v>2</v>
      </c>
      <c r="D842" s="16" t="s">
        <v>3</v>
      </c>
      <c r="E842" s="5" t="s">
        <v>4</v>
      </c>
      <c r="F842" s="11" t="s">
        <v>5</v>
      </c>
      <c r="G842" s="46" t="s">
        <v>6</v>
      </c>
      <c r="H842" s="11" t="s">
        <v>7</v>
      </c>
      <c r="I842" s="11" t="s">
        <v>8</v>
      </c>
      <c r="J842" s="36" t="s">
        <v>9</v>
      </c>
    </row>
    <row r="843" spans="1:10">
      <c r="A843" s="8" t="s">
        <v>148</v>
      </c>
      <c r="B843" s="19">
        <v>1676428</v>
      </c>
      <c r="C843" s="19">
        <v>1624291</v>
      </c>
      <c r="D843" s="17">
        <f t="shared" si="53"/>
        <v>52137</v>
      </c>
      <c r="E843" s="2">
        <f t="shared" si="52"/>
        <v>3.2098312432932277E-2</v>
      </c>
      <c r="F843" s="13" t="s">
        <v>1295</v>
      </c>
      <c r="G843" s="83" t="s">
        <v>1296</v>
      </c>
      <c r="H843" s="21" t="s">
        <v>63</v>
      </c>
      <c r="I843" s="21" t="s">
        <v>317</v>
      </c>
      <c r="J843" s="120">
        <f>SUM(D843:D895)</f>
        <v>19456065</v>
      </c>
    </row>
    <row r="844" spans="1:10">
      <c r="A844" s="8" t="s">
        <v>148</v>
      </c>
      <c r="B844" s="38">
        <v>864351</v>
      </c>
      <c r="C844" s="19">
        <v>839761</v>
      </c>
      <c r="D844" s="17">
        <f t="shared" si="53"/>
        <v>24590</v>
      </c>
      <c r="E844" s="2">
        <f t="shared" si="52"/>
        <v>2.9282140990115044E-2</v>
      </c>
      <c r="F844" s="13" t="s">
        <v>1297</v>
      </c>
      <c r="G844" s="83" t="s">
        <v>1296</v>
      </c>
      <c r="H844" s="21" t="s">
        <v>63</v>
      </c>
      <c r="I844" s="21" t="s">
        <v>317</v>
      </c>
      <c r="J844" s="121"/>
    </row>
    <row r="845" spans="1:10" ht="30.75">
      <c r="A845" s="8" t="s">
        <v>148</v>
      </c>
      <c r="B845" s="19">
        <v>4592133</v>
      </c>
      <c r="C845" s="19">
        <v>4457073</v>
      </c>
      <c r="D845" s="17">
        <f t="shared" si="53"/>
        <v>135060</v>
      </c>
      <c r="E845" s="2">
        <f t="shared" si="52"/>
        <v>3.0302398008738022E-2</v>
      </c>
      <c r="F845" s="115" t="s">
        <v>1298</v>
      </c>
      <c r="G845" s="83" t="s">
        <v>1296</v>
      </c>
      <c r="H845" s="21" t="s">
        <v>63</v>
      </c>
      <c r="I845" s="21" t="s">
        <v>317</v>
      </c>
      <c r="J845" s="121"/>
    </row>
    <row r="846" spans="1:10" ht="30.75">
      <c r="A846" s="8" t="s">
        <v>148</v>
      </c>
      <c r="B846" s="19">
        <v>2671862</v>
      </c>
      <c r="C846" s="19">
        <v>2591469</v>
      </c>
      <c r="D846" s="17">
        <f t="shared" si="53"/>
        <v>80393</v>
      </c>
      <c r="E846" s="2">
        <f t="shared" si="52"/>
        <v>3.1022173138092718E-2</v>
      </c>
      <c r="F846" s="115" t="s">
        <v>1299</v>
      </c>
      <c r="G846" s="83" t="s">
        <v>1296</v>
      </c>
      <c r="H846" s="21" t="s">
        <v>63</v>
      </c>
      <c r="I846" s="21" t="s">
        <v>317</v>
      </c>
      <c r="J846" s="121"/>
    </row>
    <row r="847" spans="1:10">
      <c r="A847" s="8" t="s">
        <v>516</v>
      </c>
      <c r="B847" s="19">
        <v>3730500</v>
      </c>
      <c r="C847" s="19">
        <v>3552000</v>
      </c>
      <c r="D847" s="17">
        <f t="shared" si="53"/>
        <v>178500</v>
      </c>
      <c r="E847" s="2">
        <f t="shared" si="52"/>
        <v>5.0253378378378379E-2</v>
      </c>
      <c r="F847" s="13" t="s">
        <v>1300</v>
      </c>
      <c r="G847" s="83" t="s">
        <v>1296</v>
      </c>
      <c r="H847" s="21" t="s">
        <v>63</v>
      </c>
      <c r="I847" s="21" t="s">
        <v>317</v>
      </c>
      <c r="J847" s="121"/>
    </row>
    <row r="848" spans="1:10">
      <c r="A848" s="8" t="s">
        <v>516</v>
      </c>
      <c r="B848" s="19">
        <v>8485000</v>
      </c>
      <c r="C848" s="19">
        <v>8080000</v>
      </c>
      <c r="D848" s="17">
        <f t="shared" si="53"/>
        <v>405000</v>
      </c>
      <c r="E848" s="2">
        <f t="shared" ref="E848:E911" si="56">(B848-C848)/C848</f>
        <v>5.0123762376237627E-2</v>
      </c>
      <c r="F848" s="13" t="s">
        <v>1300</v>
      </c>
      <c r="G848" s="83" t="s">
        <v>1296</v>
      </c>
      <c r="H848" s="21" t="s">
        <v>63</v>
      </c>
      <c r="I848" s="21" t="s">
        <v>317</v>
      </c>
      <c r="J848" s="121"/>
    </row>
    <row r="849" spans="1:10">
      <c r="A849" s="8" t="s">
        <v>516</v>
      </c>
      <c r="B849" s="19">
        <v>6197600</v>
      </c>
      <c r="C849" s="19">
        <v>5902000</v>
      </c>
      <c r="D849" s="17">
        <f t="shared" si="53"/>
        <v>295600</v>
      </c>
      <c r="E849" s="2">
        <f t="shared" si="56"/>
        <v>5.008471704506947E-2</v>
      </c>
      <c r="F849" s="13" t="s">
        <v>647</v>
      </c>
      <c r="G849" s="83" t="s">
        <v>1296</v>
      </c>
      <c r="H849" s="21" t="s">
        <v>63</v>
      </c>
      <c r="I849" s="21" t="s">
        <v>317</v>
      </c>
      <c r="J849" s="121"/>
    </row>
    <row r="850" spans="1:10">
      <c r="A850" s="8" t="s">
        <v>516</v>
      </c>
      <c r="B850" s="19">
        <v>2167200</v>
      </c>
      <c r="C850" s="19">
        <v>2063500</v>
      </c>
      <c r="D850" s="17">
        <f t="shared" ref="D850:D913" si="57">B850-C850</f>
        <v>103700</v>
      </c>
      <c r="E850" s="2">
        <f t="shared" si="56"/>
        <v>5.0254422098376543E-2</v>
      </c>
      <c r="F850" s="13" t="s">
        <v>700</v>
      </c>
      <c r="G850" s="83" t="s">
        <v>1296</v>
      </c>
      <c r="H850" s="21" t="s">
        <v>63</v>
      </c>
      <c r="I850" s="21" t="s">
        <v>317</v>
      </c>
      <c r="J850" s="121"/>
    </row>
    <row r="851" spans="1:10">
      <c r="A851" s="8" t="s">
        <v>516</v>
      </c>
      <c r="B851" s="19">
        <v>9224500</v>
      </c>
      <c r="C851" s="19">
        <v>8785000</v>
      </c>
      <c r="D851" s="17">
        <f t="shared" si="57"/>
        <v>439500</v>
      </c>
      <c r="E851" s="2">
        <f t="shared" si="56"/>
        <v>5.0028457598178713E-2</v>
      </c>
      <c r="F851" s="13" t="s">
        <v>700</v>
      </c>
      <c r="G851" s="83" t="s">
        <v>1296</v>
      </c>
      <c r="H851" s="21" t="s">
        <v>63</v>
      </c>
      <c r="I851" s="21" t="s">
        <v>317</v>
      </c>
      <c r="J851" s="121"/>
    </row>
    <row r="852" spans="1:10">
      <c r="A852" s="8" t="s">
        <v>516</v>
      </c>
      <c r="B852" s="19">
        <v>9810500</v>
      </c>
      <c r="C852" s="19">
        <v>9343000</v>
      </c>
      <c r="D852" s="17">
        <f t="shared" si="57"/>
        <v>467500</v>
      </c>
      <c r="E852" s="2">
        <f t="shared" si="56"/>
        <v>5.0037461200899067E-2</v>
      </c>
      <c r="F852" s="13" t="s">
        <v>698</v>
      </c>
      <c r="G852" s="83" t="s">
        <v>1296</v>
      </c>
      <c r="H852" s="21" t="s">
        <v>63</v>
      </c>
      <c r="I852" s="21" t="s">
        <v>317</v>
      </c>
      <c r="J852" s="121"/>
    </row>
    <row r="853" spans="1:10">
      <c r="A853" s="8" t="s">
        <v>148</v>
      </c>
      <c r="B853" s="19">
        <v>4078340</v>
      </c>
      <c r="C853" s="19">
        <v>3958389</v>
      </c>
      <c r="D853" s="17">
        <f t="shared" si="57"/>
        <v>119951</v>
      </c>
      <c r="E853" s="2">
        <f t="shared" si="56"/>
        <v>3.0302984370661902E-2</v>
      </c>
      <c r="F853" s="13" t="s">
        <v>1301</v>
      </c>
      <c r="G853" s="83" t="s">
        <v>1296</v>
      </c>
      <c r="H853" s="21" t="s">
        <v>63</v>
      </c>
      <c r="I853" s="21" t="s">
        <v>317</v>
      </c>
      <c r="J853" s="121"/>
    </row>
    <row r="854" spans="1:10">
      <c r="A854" s="8" t="s">
        <v>148</v>
      </c>
      <c r="B854" s="19">
        <v>864230</v>
      </c>
      <c r="C854" s="19">
        <v>837223</v>
      </c>
      <c r="D854" s="17">
        <f t="shared" si="57"/>
        <v>27007</v>
      </c>
      <c r="E854" s="2">
        <f t="shared" si="56"/>
        <v>3.2257833337115682E-2</v>
      </c>
      <c r="F854" s="13" t="s">
        <v>1302</v>
      </c>
      <c r="G854" s="83" t="s">
        <v>1296</v>
      </c>
      <c r="H854" s="21" t="s">
        <v>63</v>
      </c>
      <c r="I854" s="21" t="s">
        <v>317</v>
      </c>
      <c r="J854" s="121"/>
    </row>
    <row r="855" spans="1:10">
      <c r="A855" s="8" t="s">
        <v>148</v>
      </c>
      <c r="B855" s="19">
        <v>6264357</v>
      </c>
      <c r="C855" s="19">
        <v>6072588</v>
      </c>
      <c r="D855" s="17">
        <f t="shared" si="57"/>
        <v>191769</v>
      </c>
      <c r="E855" s="2">
        <f t="shared" si="56"/>
        <v>3.1579451792217751E-2</v>
      </c>
      <c r="F855" s="13" t="s">
        <v>1303</v>
      </c>
      <c r="G855" s="83" t="s">
        <v>1296</v>
      </c>
      <c r="H855" s="21" t="s">
        <v>63</v>
      </c>
      <c r="I855" s="21" t="s">
        <v>317</v>
      </c>
      <c r="J855" s="121"/>
    </row>
    <row r="856" spans="1:10">
      <c r="A856" s="8" t="s">
        <v>148</v>
      </c>
      <c r="B856" s="19">
        <v>5657130</v>
      </c>
      <c r="C856" s="19">
        <v>5484733</v>
      </c>
      <c r="D856" s="17">
        <f t="shared" si="57"/>
        <v>172397</v>
      </c>
      <c r="E856" s="2">
        <f t="shared" si="56"/>
        <v>3.1432159049492474E-2</v>
      </c>
      <c r="F856" s="13" t="s">
        <v>1304</v>
      </c>
      <c r="G856" s="83" t="s">
        <v>1296</v>
      </c>
      <c r="H856" s="21" t="s">
        <v>63</v>
      </c>
      <c r="I856" s="21" t="s">
        <v>317</v>
      </c>
      <c r="J856" s="121"/>
    </row>
    <row r="857" spans="1:10">
      <c r="A857" s="8" t="s">
        <v>148</v>
      </c>
      <c r="B857" s="19">
        <v>2520635</v>
      </c>
      <c r="C857" s="19">
        <v>2441252</v>
      </c>
      <c r="D857" s="17">
        <f t="shared" si="57"/>
        <v>79383</v>
      </c>
      <c r="E857" s="2">
        <f t="shared" si="56"/>
        <v>3.251733127100357E-2</v>
      </c>
      <c r="F857" s="13" t="s">
        <v>1305</v>
      </c>
      <c r="G857" s="83" t="s">
        <v>1296</v>
      </c>
      <c r="H857" s="21" t="s">
        <v>63</v>
      </c>
      <c r="I857" s="21" t="s">
        <v>317</v>
      </c>
      <c r="J857" s="121"/>
    </row>
    <row r="858" spans="1:10">
      <c r="A858" s="8" t="s">
        <v>148</v>
      </c>
      <c r="B858" s="19">
        <v>905727</v>
      </c>
      <c r="C858" s="19">
        <v>880101</v>
      </c>
      <c r="D858" s="17">
        <f t="shared" si="57"/>
        <v>25626</v>
      </c>
      <c r="E858" s="2">
        <f t="shared" si="56"/>
        <v>2.9117112695020229E-2</v>
      </c>
      <c r="F858" s="13" t="s">
        <v>1306</v>
      </c>
      <c r="G858" s="83" t="s">
        <v>1296</v>
      </c>
      <c r="H858" s="21" t="s">
        <v>63</v>
      </c>
      <c r="I858" s="21" t="s">
        <v>317</v>
      </c>
      <c r="J858" s="121"/>
    </row>
    <row r="859" spans="1:10">
      <c r="A859" s="8" t="s">
        <v>148</v>
      </c>
      <c r="B859" s="19">
        <v>2383725</v>
      </c>
      <c r="C859" s="19">
        <v>2301175</v>
      </c>
      <c r="D859" s="17">
        <f t="shared" si="57"/>
        <v>82550</v>
      </c>
      <c r="E859" s="2">
        <f t="shared" si="56"/>
        <v>3.5872977935185284E-2</v>
      </c>
      <c r="F859" s="13" t="s">
        <v>1307</v>
      </c>
      <c r="G859" s="83" t="s">
        <v>1296</v>
      </c>
      <c r="H859" s="21" t="s">
        <v>63</v>
      </c>
      <c r="I859" s="21" t="s">
        <v>317</v>
      </c>
      <c r="J859" s="121"/>
    </row>
    <row r="860" spans="1:10">
      <c r="A860" s="8" t="s">
        <v>148</v>
      </c>
      <c r="B860" s="19">
        <v>5061041</v>
      </c>
      <c r="C860" s="19">
        <v>4877993</v>
      </c>
      <c r="D860" s="17">
        <f t="shared" si="57"/>
        <v>183048</v>
      </c>
      <c r="E860" s="2">
        <f t="shared" si="56"/>
        <v>3.7525269101452173E-2</v>
      </c>
      <c r="F860" s="13" t="s">
        <v>1308</v>
      </c>
      <c r="G860" s="83" t="s">
        <v>1296</v>
      </c>
      <c r="H860" s="21" t="s">
        <v>63</v>
      </c>
      <c r="I860" s="21" t="s">
        <v>317</v>
      </c>
      <c r="J860" s="121"/>
    </row>
    <row r="861" spans="1:10">
      <c r="A861" s="8" t="s">
        <v>148</v>
      </c>
      <c r="B861" s="19">
        <v>1078000</v>
      </c>
      <c r="C861" s="19">
        <v>1024100</v>
      </c>
      <c r="D861" s="17">
        <f t="shared" si="57"/>
        <v>53900</v>
      </c>
      <c r="E861" s="2">
        <f t="shared" si="56"/>
        <v>5.2631578947368418E-2</v>
      </c>
      <c r="F861" s="13" t="s">
        <v>1309</v>
      </c>
      <c r="G861" s="83" t="s">
        <v>1296</v>
      </c>
      <c r="H861" s="21" t="s">
        <v>63</v>
      </c>
      <c r="I861" s="21" t="s">
        <v>317</v>
      </c>
      <c r="J861" s="121"/>
    </row>
    <row r="862" spans="1:10">
      <c r="A862" s="8" t="s">
        <v>148</v>
      </c>
      <c r="B862" s="19">
        <v>995338</v>
      </c>
      <c r="C862" s="19">
        <v>965001</v>
      </c>
      <c r="D862" s="17">
        <f t="shared" si="57"/>
        <v>30337</v>
      </c>
      <c r="E862" s="2">
        <f t="shared" si="56"/>
        <v>3.1437273121996762E-2</v>
      </c>
      <c r="F862" s="13" t="s">
        <v>1310</v>
      </c>
      <c r="G862" s="83" t="s">
        <v>1296</v>
      </c>
      <c r="H862" s="21" t="s">
        <v>63</v>
      </c>
      <c r="I862" s="21" t="s">
        <v>317</v>
      </c>
      <c r="J862" s="121"/>
    </row>
    <row r="863" spans="1:10">
      <c r="A863" s="8" t="s">
        <v>148</v>
      </c>
      <c r="B863" s="19">
        <v>4190021</v>
      </c>
      <c r="C863" s="19">
        <v>4063138</v>
      </c>
      <c r="D863" s="17">
        <f t="shared" si="57"/>
        <v>126883</v>
      </c>
      <c r="E863" s="2">
        <f t="shared" si="56"/>
        <v>3.1227834250276511E-2</v>
      </c>
      <c r="F863" s="13" t="s">
        <v>1311</v>
      </c>
      <c r="G863" s="83" t="s">
        <v>1296</v>
      </c>
      <c r="H863" s="21" t="s">
        <v>63</v>
      </c>
      <c r="I863" s="21" t="s">
        <v>317</v>
      </c>
      <c r="J863" s="121"/>
    </row>
    <row r="864" spans="1:10">
      <c r="A864" s="8" t="s">
        <v>148</v>
      </c>
      <c r="B864" s="19">
        <v>7164613</v>
      </c>
      <c r="C864" s="19">
        <v>6952369</v>
      </c>
      <c r="D864" s="17">
        <f t="shared" si="57"/>
        <v>212244</v>
      </c>
      <c r="E864" s="2">
        <f t="shared" si="56"/>
        <v>3.0528299058925096E-2</v>
      </c>
      <c r="F864" s="13" t="s">
        <v>1311</v>
      </c>
      <c r="G864" s="83" t="s">
        <v>1296</v>
      </c>
      <c r="H864" s="21" t="s">
        <v>63</v>
      </c>
      <c r="I864" s="21" t="s">
        <v>317</v>
      </c>
      <c r="J864" s="121"/>
    </row>
    <row r="865" spans="1:10">
      <c r="A865" s="8" t="s">
        <v>213</v>
      </c>
      <c r="B865" s="19">
        <v>5050000</v>
      </c>
      <c r="C865" s="19">
        <v>4800000</v>
      </c>
      <c r="D865" s="17">
        <f t="shared" si="57"/>
        <v>250000</v>
      </c>
      <c r="E865" s="2">
        <f t="shared" si="56"/>
        <v>5.2083333333333336E-2</v>
      </c>
      <c r="F865" s="13" t="s">
        <v>1312</v>
      </c>
      <c r="G865" s="83" t="s">
        <v>1296</v>
      </c>
      <c r="H865" s="21" t="s">
        <v>63</v>
      </c>
      <c r="I865" s="21" t="s">
        <v>317</v>
      </c>
      <c r="J865" s="121"/>
    </row>
    <row r="866" spans="1:10">
      <c r="A866" s="8" t="s">
        <v>213</v>
      </c>
      <c r="B866" s="19">
        <v>1770000</v>
      </c>
      <c r="C866" s="19">
        <v>1685000</v>
      </c>
      <c r="D866" s="17">
        <f t="shared" si="57"/>
        <v>85000</v>
      </c>
      <c r="E866" s="2">
        <f t="shared" si="56"/>
        <v>5.0445103857566766E-2</v>
      </c>
      <c r="F866" s="13" t="s">
        <v>1313</v>
      </c>
      <c r="G866" s="83" t="s">
        <v>1296</v>
      </c>
      <c r="H866" s="21" t="s">
        <v>63</v>
      </c>
      <c r="I866" s="21" t="s">
        <v>317</v>
      </c>
      <c r="J866" s="121"/>
    </row>
    <row r="867" spans="1:10">
      <c r="A867" s="8" t="s">
        <v>213</v>
      </c>
      <c r="B867" s="19">
        <v>4270000</v>
      </c>
      <c r="C867" s="19">
        <v>4055000</v>
      </c>
      <c r="D867" s="17">
        <f t="shared" si="57"/>
        <v>215000</v>
      </c>
      <c r="E867" s="2">
        <f t="shared" si="56"/>
        <v>5.3020961775585698E-2</v>
      </c>
      <c r="F867" s="13" t="s">
        <v>1314</v>
      </c>
      <c r="G867" s="83" t="s">
        <v>1296</v>
      </c>
      <c r="H867" s="21" t="s">
        <v>63</v>
      </c>
      <c r="I867" s="21" t="s">
        <v>317</v>
      </c>
      <c r="J867" s="121"/>
    </row>
    <row r="868" spans="1:10">
      <c r="A868" s="8" t="s">
        <v>213</v>
      </c>
      <c r="B868" s="19">
        <v>3080000</v>
      </c>
      <c r="C868" s="19">
        <v>2930000</v>
      </c>
      <c r="D868" s="17">
        <f t="shared" si="57"/>
        <v>150000</v>
      </c>
      <c r="E868" s="2">
        <f t="shared" si="56"/>
        <v>5.1194539249146756E-2</v>
      </c>
      <c r="F868" s="13" t="s">
        <v>1315</v>
      </c>
      <c r="G868" s="83" t="s">
        <v>1296</v>
      </c>
      <c r="H868" s="21" t="s">
        <v>63</v>
      </c>
      <c r="I868" s="21" t="s">
        <v>317</v>
      </c>
      <c r="J868" s="121"/>
    </row>
    <row r="869" spans="1:10">
      <c r="A869" s="8" t="s">
        <v>213</v>
      </c>
      <c r="B869" s="19">
        <v>4980000</v>
      </c>
      <c r="C869" s="19">
        <v>4740000</v>
      </c>
      <c r="D869" s="17">
        <f t="shared" si="57"/>
        <v>240000</v>
      </c>
      <c r="E869" s="2">
        <f t="shared" si="56"/>
        <v>5.0632911392405063E-2</v>
      </c>
      <c r="F869" s="13" t="s">
        <v>1316</v>
      </c>
      <c r="G869" s="83" t="s">
        <v>1296</v>
      </c>
      <c r="H869" s="21" t="s">
        <v>63</v>
      </c>
      <c r="I869" s="21" t="s">
        <v>317</v>
      </c>
      <c r="J869" s="121"/>
    </row>
    <row r="870" spans="1:10">
      <c r="A870" s="8" t="s">
        <v>1317</v>
      </c>
      <c r="B870" s="19">
        <v>7997000</v>
      </c>
      <c r="C870" s="19">
        <v>7597150</v>
      </c>
      <c r="D870" s="17">
        <f t="shared" si="57"/>
        <v>399850</v>
      </c>
      <c r="E870" s="2">
        <f t="shared" si="56"/>
        <v>5.2631578947368418E-2</v>
      </c>
      <c r="F870" s="13" t="s">
        <v>1318</v>
      </c>
      <c r="G870" s="83" t="s">
        <v>1296</v>
      </c>
      <c r="H870" s="21" t="s">
        <v>63</v>
      </c>
      <c r="I870" s="49" t="s">
        <v>317</v>
      </c>
      <c r="J870" s="121"/>
    </row>
    <row r="871" spans="1:10">
      <c r="A871" s="8" t="s">
        <v>776</v>
      </c>
      <c r="B871" s="19">
        <v>26732190</v>
      </c>
      <c r="C871" s="19">
        <v>24177000</v>
      </c>
      <c r="D871" s="17">
        <f t="shared" si="57"/>
        <v>2555190</v>
      </c>
      <c r="E871" s="2">
        <f t="shared" si="56"/>
        <v>0.10568680977788808</v>
      </c>
      <c r="F871" s="13" t="s">
        <v>1319</v>
      </c>
      <c r="G871" s="83" t="s">
        <v>1296</v>
      </c>
      <c r="H871" s="20" t="s">
        <v>21</v>
      </c>
      <c r="I871" s="21"/>
      <c r="J871" s="121"/>
    </row>
    <row r="872" spans="1:10">
      <c r="A872" s="8" t="s">
        <v>1320</v>
      </c>
      <c r="B872" s="19">
        <v>8993000</v>
      </c>
      <c r="C872" s="19">
        <v>7971000</v>
      </c>
      <c r="D872" s="17">
        <f t="shared" si="57"/>
        <v>1022000</v>
      </c>
      <c r="E872" s="2">
        <f t="shared" si="56"/>
        <v>0.12821477857232469</v>
      </c>
      <c r="F872" s="13" t="s">
        <v>1321</v>
      </c>
      <c r="G872" s="83" t="s">
        <v>1296</v>
      </c>
      <c r="H872" s="20" t="s">
        <v>30</v>
      </c>
      <c r="I872" s="21" t="s">
        <v>1101</v>
      </c>
      <c r="J872" s="121"/>
    </row>
    <row r="873" spans="1:10">
      <c r="A873" s="8" t="s">
        <v>1322</v>
      </c>
      <c r="B873" s="19">
        <v>807000</v>
      </c>
      <c r="C873" s="19">
        <v>785000</v>
      </c>
      <c r="D873" s="17">
        <f t="shared" si="57"/>
        <v>22000</v>
      </c>
      <c r="E873" s="2">
        <f t="shared" si="56"/>
        <v>2.802547770700637E-2</v>
      </c>
      <c r="F873" s="13" t="s">
        <v>1323</v>
      </c>
      <c r="G873" s="83" t="s">
        <v>1296</v>
      </c>
      <c r="H873" s="20" t="s">
        <v>124</v>
      </c>
      <c r="I873" s="21"/>
      <c r="J873" s="121"/>
    </row>
    <row r="874" spans="1:10">
      <c r="A874" s="8" t="s">
        <v>870</v>
      </c>
      <c r="B874" s="19">
        <v>5371200</v>
      </c>
      <c r="C874" s="19">
        <v>5048928</v>
      </c>
      <c r="D874" s="17">
        <f t="shared" si="57"/>
        <v>322272</v>
      </c>
      <c r="E874" s="2">
        <f t="shared" si="56"/>
        <v>6.3829787234042548E-2</v>
      </c>
      <c r="F874" s="13" t="s">
        <v>1324</v>
      </c>
      <c r="G874" s="83" t="s">
        <v>1296</v>
      </c>
      <c r="H874" s="20" t="s">
        <v>63</v>
      </c>
      <c r="I874" s="21" t="s">
        <v>831</v>
      </c>
      <c r="J874" s="121"/>
    </row>
    <row r="875" spans="1:10">
      <c r="A875" s="8" t="s">
        <v>870</v>
      </c>
      <c r="B875" s="19">
        <v>6168000</v>
      </c>
      <c r="C875" s="19">
        <v>5797920</v>
      </c>
      <c r="D875" s="17">
        <f t="shared" si="57"/>
        <v>370080</v>
      </c>
      <c r="E875" s="2">
        <f t="shared" si="56"/>
        <v>6.3829787234042548E-2</v>
      </c>
      <c r="F875" s="13" t="s">
        <v>1325</v>
      </c>
      <c r="G875" s="83" t="s">
        <v>1296</v>
      </c>
      <c r="H875" s="20" t="s">
        <v>63</v>
      </c>
      <c r="I875" s="21" t="s">
        <v>831</v>
      </c>
      <c r="J875" s="121"/>
    </row>
    <row r="876" spans="1:10">
      <c r="A876" s="8" t="s">
        <v>1326</v>
      </c>
      <c r="B876" s="19">
        <v>856000</v>
      </c>
      <c r="C876" s="19">
        <v>546000</v>
      </c>
      <c r="D876" s="17">
        <f t="shared" si="57"/>
        <v>310000</v>
      </c>
      <c r="E876" s="2">
        <f t="shared" si="56"/>
        <v>0.56776556776556775</v>
      </c>
      <c r="F876" s="13" t="s">
        <v>1327</v>
      </c>
      <c r="G876" s="83" t="s">
        <v>1296</v>
      </c>
      <c r="H876" s="20" t="s">
        <v>63</v>
      </c>
      <c r="I876" s="21"/>
      <c r="J876" s="121"/>
    </row>
    <row r="877" spans="1:10">
      <c r="A877" s="8" t="s">
        <v>776</v>
      </c>
      <c r="B877" s="19">
        <v>4950000</v>
      </c>
      <c r="C877" s="19">
        <v>4049054</v>
      </c>
      <c r="D877" s="17">
        <f t="shared" si="57"/>
        <v>900946</v>
      </c>
      <c r="E877" s="2">
        <f t="shared" si="56"/>
        <v>0.22250777589036846</v>
      </c>
      <c r="F877" s="13" t="s">
        <v>1328</v>
      </c>
      <c r="G877" s="83" t="s">
        <v>1296</v>
      </c>
      <c r="H877" s="20" t="s">
        <v>30</v>
      </c>
      <c r="I877" s="21" t="s">
        <v>889</v>
      </c>
      <c r="J877" s="121"/>
    </row>
    <row r="878" spans="1:10">
      <c r="A878" s="8" t="s">
        <v>776</v>
      </c>
      <c r="B878" s="19">
        <v>858100</v>
      </c>
      <c r="C878" s="19">
        <v>636213</v>
      </c>
      <c r="D878" s="17">
        <f t="shared" si="57"/>
        <v>221887</v>
      </c>
      <c r="E878" s="2">
        <f t="shared" si="56"/>
        <v>0.34876212840668142</v>
      </c>
      <c r="F878" s="13" t="s">
        <v>1329</v>
      </c>
      <c r="G878" s="83" t="s">
        <v>1296</v>
      </c>
      <c r="H878" s="20" t="s">
        <v>30</v>
      </c>
      <c r="I878" s="21" t="s">
        <v>889</v>
      </c>
      <c r="J878" s="121"/>
    </row>
    <row r="879" spans="1:10">
      <c r="A879" s="8" t="s">
        <v>776</v>
      </c>
      <c r="B879" s="19">
        <v>3220000</v>
      </c>
      <c r="C879" s="19">
        <v>2947560</v>
      </c>
      <c r="D879" s="17">
        <f t="shared" si="57"/>
        <v>272440</v>
      </c>
      <c r="E879" s="2">
        <f t="shared" si="56"/>
        <v>9.242899211551249E-2</v>
      </c>
      <c r="F879" s="13" t="s">
        <v>1330</v>
      </c>
      <c r="G879" s="83" t="s">
        <v>1296</v>
      </c>
      <c r="H879" s="20" t="s">
        <v>30</v>
      </c>
      <c r="I879" s="21" t="s">
        <v>889</v>
      </c>
      <c r="J879" s="121"/>
    </row>
    <row r="880" spans="1:10">
      <c r="A880" s="8" t="s">
        <v>776</v>
      </c>
      <c r="B880" s="19">
        <v>20075859</v>
      </c>
      <c r="C880" s="19">
        <v>17000393</v>
      </c>
      <c r="D880" s="17">
        <f t="shared" si="57"/>
        <v>3075466</v>
      </c>
      <c r="E880" s="2">
        <f t="shared" si="56"/>
        <v>0.18090558259447295</v>
      </c>
      <c r="F880" s="13" t="s">
        <v>1331</v>
      </c>
      <c r="G880" s="83" t="s">
        <v>1296</v>
      </c>
      <c r="H880" s="20" t="s">
        <v>30</v>
      </c>
      <c r="I880" s="21" t="s">
        <v>889</v>
      </c>
      <c r="J880" s="121"/>
    </row>
    <row r="881" spans="1:10">
      <c r="A881" s="8" t="s">
        <v>1332</v>
      </c>
      <c r="B881" s="19">
        <v>5898840</v>
      </c>
      <c r="C881" s="19">
        <v>5668640</v>
      </c>
      <c r="D881" s="17">
        <f t="shared" si="57"/>
        <v>230200</v>
      </c>
      <c r="E881" s="2">
        <f t="shared" si="56"/>
        <v>4.0609387789663838E-2</v>
      </c>
      <c r="F881" s="13" t="s">
        <v>1333</v>
      </c>
      <c r="G881" s="83" t="s">
        <v>1296</v>
      </c>
      <c r="H881" s="20" t="s">
        <v>30</v>
      </c>
      <c r="I881" s="21" t="s">
        <v>31</v>
      </c>
      <c r="J881" s="121"/>
    </row>
    <row r="882" spans="1:10">
      <c r="A882" s="8" t="s">
        <v>1334</v>
      </c>
      <c r="B882" s="19">
        <v>5665400</v>
      </c>
      <c r="C882" s="19">
        <v>5440980</v>
      </c>
      <c r="D882" s="17">
        <f t="shared" si="57"/>
        <v>224420</v>
      </c>
      <c r="E882" s="2">
        <f t="shared" si="56"/>
        <v>4.1246246080669291E-2</v>
      </c>
      <c r="F882" s="13" t="s">
        <v>1335</v>
      </c>
      <c r="G882" s="83" t="s">
        <v>1296</v>
      </c>
      <c r="H882" s="20" t="s">
        <v>30</v>
      </c>
      <c r="I882" s="21" t="s">
        <v>31</v>
      </c>
      <c r="J882" s="121"/>
    </row>
    <row r="883" spans="1:10">
      <c r="A883" s="8" t="s">
        <v>776</v>
      </c>
      <c r="B883" s="19">
        <v>17000393</v>
      </c>
      <c r="C883" s="19">
        <v>15778987</v>
      </c>
      <c r="D883" s="17">
        <f t="shared" si="57"/>
        <v>1221406</v>
      </c>
      <c r="E883" s="2">
        <f t="shared" si="56"/>
        <v>7.740712379064639E-2</v>
      </c>
      <c r="F883" s="13" t="s">
        <v>1336</v>
      </c>
      <c r="G883" s="83" t="s">
        <v>1296</v>
      </c>
      <c r="H883" s="20" t="s">
        <v>30</v>
      </c>
      <c r="I883" s="21" t="s">
        <v>889</v>
      </c>
      <c r="J883" s="121"/>
    </row>
    <row r="884" spans="1:10">
      <c r="A884" s="8" t="s">
        <v>1322</v>
      </c>
      <c r="B884" s="19">
        <v>403000</v>
      </c>
      <c r="C884" s="19">
        <v>371000</v>
      </c>
      <c r="D884" s="17">
        <f t="shared" si="57"/>
        <v>32000</v>
      </c>
      <c r="E884" s="2">
        <f t="shared" si="56"/>
        <v>8.6253369272237201E-2</v>
      </c>
      <c r="F884" s="13" t="s">
        <v>1337</v>
      </c>
      <c r="G884" s="83" t="s">
        <v>1296</v>
      </c>
      <c r="H884" s="20" t="s">
        <v>30</v>
      </c>
      <c r="I884" s="21" t="s">
        <v>31</v>
      </c>
      <c r="J884" s="121"/>
    </row>
    <row r="885" spans="1:10">
      <c r="A885" s="8" t="s">
        <v>776</v>
      </c>
      <c r="B885" s="19">
        <v>8576455</v>
      </c>
      <c r="C885" s="19">
        <v>8070381</v>
      </c>
      <c r="D885" s="17">
        <f t="shared" si="57"/>
        <v>506074</v>
      </c>
      <c r="E885" s="2">
        <f t="shared" si="56"/>
        <v>6.2707572294294411E-2</v>
      </c>
      <c r="F885" s="13" t="s">
        <v>1338</v>
      </c>
      <c r="G885" s="83" t="s">
        <v>1296</v>
      </c>
      <c r="H885" s="20" t="s">
        <v>234</v>
      </c>
      <c r="I885" s="21" t="s">
        <v>1339</v>
      </c>
      <c r="J885" s="121"/>
    </row>
    <row r="886" spans="1:10">
      <c r="A886" s="8" t="s">
        <v>1195</v>
      </c>
      <c r="B886" s="19">
        <v>4800000</v>
      </c>
      <c r="C886" s="19">
        <v>4000000</v>
      </c>
      <c r="D886" s="17">
        <f t="shared" si="57"/>
        <v>800000</v>
      </c>
      <c r="E886" s="2">
        <f t="shared" si="56"/>
        <v>0.2</v>
      </c>
      <c r="F886" s="13" t="s">
        <v>1340</v>
      </c>
      <c r="G886" s="83" t="s">
        <v>1296</v>
      </c>
      <c r="H886" s="20" t="s">
        <v>30</v>
      </c>
      <c r="I886" s="15" t="s">
        <v>1341</v>
      </c>
      <c r="J886" s="121"/>
    </row>
    <row r="887" spans="1:10">
      <c r="A887" s="8" t="s">
        <v>1169</v>
      </c>
      <c r="B887" s="19">
        <v>3907248</v>
      </c>
      <c r="C887" s="19">
        <v>3798704</v>
      </c>
      <c r="D887" s="17">
        <f t="shared" si="57"/>
        <v>108544</v>
      </c>
      <c r="E887" s="2">
        <f t="shared" si="56"/>
        <v>2.8573955749118647E-2</v>
      </c>
      <c r="F887" s="13" t="s">
        <v>1342</v>
      </c>
      <c r="G887" s="83" t="s">
        <v>1296</v>
      </c>
      <c r="H887" s="23" t="s">
        <v>63</v>
      </c>
      <c r="I887" s="21" t="s">
        <v>831</v>
      </c>
      <c r="J887" s="121"/>
    </row>
    <row r="888" spans="1:10">
      <c r="A888" s="8" t="s">
        <v>1169</v>
      </c>
      <c r="B888" s="19">
        <v>2991166</v>
      </c>
      <c r="C888" s="19">
        <v>2912891</v>
      </c>
      <c r="D888" s="17">
        <f t="shared" si="57"/>
        <v>78275</v>
      </c>
      <c r="E888" s="2">
        <f t="shared" si="56"/>
        <v>2.6871928953057289E-2</v>
      </c>
      <c r="F888" s="13" t="s">
        <v>1343</v>
      </c>
      <c r="G888" s="83" t="s">
        <v>1296</v>
      </c>
      <c r="H888" s="23" t="s">
        <v>63</v>
      </c>
      <c r="I888" s="21" t="s">
        <v>831</v>
      </c>
      <c r="J888" s="121"/>
    </row>
    <row r="889" spans="1:10">
      <c r="A889" s="8" t="s">
        <v>1169</v>
      </c>
      <c r="B889" s="19">
        <v>481890</v>
      </c>
      <c r="C889" s="19">
        <v>468510</v>
      </c>
      <c r="D889" s="17">
        <f t="shared" si="57"/>
        <v>13380</v>
      </c>
      <c r="E889" s="2">
        <f t="shared" si="56"/>
        <v>2.8558622014471409E-2</v>
      </c>
      <c r="F889" s="13" t="s">
        <v>1344</v>
      </c>
      <c r="G889" s="83" t="s">
        <v>1296</v>
      </c>
      <c r="H889" s="23" t="s">
        <v>63</v>
      </c>
      <c r="I889" s="21" t="s">
        <v>831</v>
      </c>
      <c r="J889" s="121"/>
    </row>
    <row r="890" spans="1:10">
      <c r="A890" s="8" t="s">
        <v>1094</v>
      </c>
      <c r="B890" s="19">
        <v>15814710</v>
      </c>
      <c r="C890" s="19">
        <v>15340300</v>
      </c>
      <c r="D890" s="17">
        <f t="shared" si="57"/>
        <v>474410</v>
      </c>
      <c r="E890" s="2">
        <f t="shared" si="56"/>
        <v>3.0925731569786771E-2</v>
      </c>
      <c r="F890" s="13" t="s">
        <v>1345</v>
      </c>
      <c r="G890" s="83" t="s">
        <v>1296</v>
      </c>
      <c r="H890" s="23" t="s">
        <v>63</v>
      </c>
      <c r="I890" s="21" t="s">
        <v>831</v>
      </c>
      <c r="J890" s="121"/>
    </row>
    <row r="891" spans="1:10">
      <c r="A891" s="8" t="s">
        <v>1094</v>
      </c>
      <c r="B891" s="19">
        <v>12256480</v>
      </c>
      <c r="C891" s="19">
        <v>11885700</v>
      </c>
      <c r="D891" s="17">
        <f t="shared" si="57"/>
        <v>370780</v>
      </c>
      <c r="E891" s="2">
        <f t="shared" si="56"/>
        <v>3.1195470186863205E-2</v>
      </c>
      <c r="F891" s="13" t="s">
        <v>1346</v>
      </c>
      <c r="G891" s="83" t="s">
        <v>1296</v>
      </c>
      <c r="H891" s="23" t="s">
        <v>63</v>
      </c>
      <c r="I891" s="21" t="s">
        <v>831</v>
      </c>
      <c r="J891" s="121"/>
    </row>
    <row r="892" spans="1:10">
      <c r="A892" s="9" t="s">
        <v>1094</v>
      </c>
      <c r="B892" s="22">
        <v>6671850</v>
      </c>
      <c r="C892" s="22">
        <v>6471520</v>
      </c>
      <c r="D892" s="35">
        <f t="shared" si="57"/>
        <v>200330</v>
      </c>
      <c r="E892" s="3">
        <f t="shared" si="56"/>
        <v>3.0955633297896013E-2</v>
      </c>
      <c r="F892" s="14" t="s">
        <v>1347</v>
      </c>
      <c r="G892" s="83" t="s">
        <v>1296</v>
      </c>
      <c r="H892" s="23" t="s">
        <v>63</v>
      </c>
      <c r="I892" s="49" t="s">
        <v>831</v>
      </c>
      <c r="J892" s="121"/>
    </row>
    <row r="893" spans="1:10">
      <c r="A893" s="26" t="s">
        <v>1348</v>
      </c>
      <c r="B893" s="27">
        <v>18170100</v>
      </c>
      <c r="C893" s="27">
        <v>17673700</v>
      </c>
      <c r="D893" s="27">
        <f t="shared" si="57"/>
        <v>496400</v>
      </c>
      <c r="E893" s="28">
        <f t="shared" si="56"/>
        <v>2.8086931429185738E-2</v>
      </c>
      <c r="F893" s="21" t="s">
        <v>1349</v>
      </c>
      <c r="G893" s="83" t="s">
        <v>1296</v>
      </c>
      <c r="H893" s="21" t="s">
        <v>30</v>
      </c>
      <c r="I893" s="21" t="s">
        <v>31</v>
      </c>
      <c r="J893" s="121"/>
    </row>
    <row r="894" spans="1:10">
      <c r="A894" s="26" t="s">
        <v>174</v>
      </c>
      <c r="B894" s="27">
        <v>5668640</v>
      </c>
      <c r="C894" s="27">
        <v>5385500</v>
      </c>
      <c r="D894" s="27">
        <f t="shared" si="57"/>
        <v>283140</v>
      </c>
      <c r="E894" s="28">
        <f t="shared" si="56"/>
        <v>5.2574505616934358E-2</v>
      </c>
      <c r="F894" s="21" t="s">
        <v>1350</v>
      </c>
      <c r="G894" s="83" t="s">
        <v>1296</v>
      </c>
      <c r="H894" s="21" t="s">
        <v>30</v>
      </c>
      <c r="I894" s="21" t="s">
        <v>31</v>
      </c>
      <c r="J894" s="121"/>
    </row>
    <row r="895" spans="1:10">
      <c r="A895" s="26" t="s">
        <v>112</v>
      </c>
      <c r="B895" s="27">
        <v>5440980</v>
      </c>
      <c r="C895" s="27">
        <v>4923480</v>
      </c>
      <c r="D895" s="27">
        <f t="shared" si="57"/>
        <v>517500</v>
      </c>
      <c r="E895" s="28">
        <f t="shared" si="56"/>
        <v>0.10510858173487046</v>
      </c>
      <c r="F895" s="21" t="s">
        <v>1351</v>
      </c>
      <c r="G895" s="83" t="s">
        <v>1296</v>
      </c>
      <c r="H895" s="21" t="s">
        <v>30</v>
      </c>
      <c r="I895" s="49" t="s">
        <v>31</v>
      </c>
      <c r="J895" s="121"/>
    </row>
    <row r="896" spans="1:10">
      <c r="A896" s="125" t="s">
        <v>770</v>
      </c>
      <c r="B896" s="125"/>
      <c r="C896" s="125"/>
      <c r="D896" s="125"/>
      <c r="E896" s="125"/>
      <c r="F896" s="125"/>
      <c r="G896" s="125"/>
      <c r="H896" s="125"/>
      <c r="I896" s="125"/>
      <c r="J896" s="125"/>
    </row>
    <row r="897" spans="1:10">
      <c r="A897" s="8" t="s">
        <v>1352</v>
      </c>
      <c r="B897" s="19">
        <v>8110000</v>
      </c>
      <c r="C897" s="19">
        <v>7700000</v>
      </c>
      <c r="D897" s="17">
        <f t="shared" si="57"/>
        <v>410000</v>
      </c>
      <c r="E897" s="2">
        <f t="shared" si="56"/>
        <v>5.3246753246753244E-2</v>
      </c>
      <c r="F897" s="13" t="s">
        <v>1353</v>
      </c>
      <c r="G897" s="48" t="s">
        <v>1354</v>
      </c>
      <c r="H897" s="20" t="s">
        <v>63</v>
      </c>
      <c r="I897" s="21" t="s">
        <v>317</v>
      </c>
      <c r="J897" s="120">
        <f>SUM(D897:D975)</f>
        <v>108130657.21000001</v>
      </c>
    </row>
    <row r="898" spans="1:10">
      <c r="A898" s="8" t="s">
        <v>599</v>
      </c>
      <c r="B898" s="19">
        <v>6300000</v>
      </c>
      <c r="C898" s="19">
        <v>6000000</v>
      </c>
      <c r="D898" s="17">
        <f t="shared" si="57"/>
        <v>300000</v>
      </c>
      <c r="E898" s="2">
        <f t="shared" si="56"/>
        <v>0.05</v>
      </c>
      <c r="F898" s="13" t="s">
        <v>1355</v>
      </c>
      <c r="G898" s="48" t="s">
        <v>1354</v>
      </c>
      <c r="H898" s="20" t="s">
        <v>30</v>
      </c>
      <c r="I898" s="21" t="s">
        <v>1356</v>
      </c>
      <c r="J898" s="121"/>
    </row>
    <row r="899" spans="1:10">
      <c r="A899" s="8" t="s">
        <v>599</v>
      </c>
      <c r="B899" s="19">
        <v>610250</v>
      </c>
      <c r="C899" s="19">
        <v>518712.5</v>
      </c>
      <c r="D899" s="17">
        <f t="shared" si="57"/>
        <v>91537.5</v>
      </c>
      <c r="E899" s="2">
        <f t="shared" si="56"/>
        <v>0.17647058823529413</v>
      </c>
      <c r="F899" s="13" t="s">
        <v>1357</v>
      </c>
      <c r="G899" s="48" t="s">
        <v>1354</v>
      </c>
      <c r="H899" s="20" t="s">
        <v>124</v>
      </c>
      <c r="I899" s="21" t="s">
        <v>1358</v>
      </c>
      <c r="J899" s="121"/>
    </row>
    <row r="900" spans="1:10">
      <c r="A900" s="8" t="s">
        <v>1359</v>
      </c>
      <c r="B900" s="19">
        <v>14366700</v>
      </c>
      <c r="C900" s="19">
        <v>12930030</v>
      </c>
      <c r="D900" s="17">
        <f t="shared" si="57"/>
        <v>1436670</v>
      </c>
      <c r="E900" s="2">
        <f t="shared" si="56"/>
        <v>0.1111111111111111</v>
      </c>
      <c r="F900" s="13" t="s">
        <v>1360</v>
      </c>
      <c r="G900" s="48" t="s">
        <v>1354</v>
      </c>
      <c r="H900" s="20" t="s">
        <v>89</v>
      </c>
      <c r="I900" s="21" t="s">
        <v>1361</v>
      </c>
      <c r="J900" s="121"/>
    </row>
    <row r="901" spans="1:10">
      <c r="A901" s="8" t="s">
        <v>1362</v>
      </c>
      <c r="B901" s="19">
        <v>3057600</v>
      </c>
      <c r="C901" s="19">
        <v>2870600</v>
      </c>
      <c r="D901" s="17">
        <f t="shared" si="57"/>
        <v>187000</v>
      </c>
      <c r="E901" s="2">
        <f t="shared" si="56"/>
        <v>6.5143175642722775E-2</v>
      </c>
      <c r="F901" s="13" t="s">
        <v>1363</v>
      </c>
      <c r="G901" s="48" t="s">
        <v>1354</v>
      </c>
      <c r="H901" s="20" t="s">
        <v>89</v>
      </c>
      <c r="I901" s="21" t="s">
        <v>1364</v>
      </c>
      <c r="J901" s="121"/>
    </row>
    <row r="902" spans="1:10">
      <c r="A902" s="8" t="s">
        <v>1365</v>
      </c>
      <c r="B902" s="19">
        <v>4037419</v>
      </c>
      <c r="C902" s="19">
        <v>3763019</v>
      </c>
      <c r="D902" s="17">
        <f t="shared" si="57"/>
        <v>274400</v>
      </c>
      <c r="E902" s="2">
        <f t="shared" si="56"/>
        <v>7.2920173934811386E-2</v>
      </c>
      <c r="F902" s="13" t="s">
        <v>1366</v>
      </c>
      <c r="G902" s="48" t="s">
        <v>1354</v>
      </c>
      <c r="H902" s="20" t="s">
        <v>89</v>
      </c>
      <c r="I902" s="21" t="s">
        <v>320</v>
      </c>
      <c r="J902" s="121"/>
    </row>
    <row r="903" spans="1:10">
      <c r="A903" s="8" t="s">
        <v>99</v>
      </c>
      <c r="B903" s="19">
        <v>106970000</v>
      </c>
      <c r="C903" s="19">
        <v>98433000</v>
      </c>
      <c r="D903" s="17">
        <f t="shared" si="57"/>
        <v>8537000</v>
      </c>
      <c r="E903" s="2">
        <f t="shared" si="56"/>
        <v>8.6729044121382062E-2</v>
      </c>
      <c r="F903" s="13" t="s">
        <v>1367</v>
      </c>
      <c r="G903" s="48" t="s">
        <v>1354</v>
      </c>
      <c r="H903" s="20" t="s">
        <v>89</v>
      </c>
      <c r="I903" s="21" t="s">
        <v>31</v>
      </c>
      <c r="J903" s="121"/>
    </row>
    <row r="904" spans="1:10">
      <c r="A904" s="8" t="s">
        <v>34</v>
      </c>
      <c r="B904" s="19">
        <v>2658380</v>
      </c>
      <c r="C904" s="19">
        <v>2475080</v>
      </c>
      <c r="D904" s="17">
        <f t="shared" si="57"/>
        <v>183300</v>
      </c>
      <c r="E904" s="2">
        <f t="shared" si="56"/>
        <v>7.4058212259805745E-2</v>
      </c>
      <c r="F904" s="13" t="s">
        <v>1368</v>
      </c>
      <c r="G904" s="48" t="s">
        <v>1354</v>
      </c>
      <c r="H904" s="20" t="s">
        <v>89</v>
      </c>
      <c r="I904" s="21" t="s">
        <v>1361</v>
      </c>
      <c r="J904" s="121"/>
    </row>
    <row r="905" spans="1:10">
      <c r="A905" s="8" t="s">
        <v>174</v>
      </c>
      <c r="B905" s="19">
        <v>3767300</v>
      </c>
      <c r="C905" s="19">
        <v>3581000</v>
      </c>
      <c r="D905" s="17">
        <f t="shared" si="57"/>
        <v>186300</v>
      </c>
      <c r="E905" s="2">
        <f t="shared" si="56"/>
        <v>5.2024574141301315E-2</v>
      </c>
      <c r="F905" s="13" t="s">
        <v>1367</v>
      </c>
      <c r="G905" s="48" t="s">
        <v>1354</v>
      </c>
      <c r="H905" s="20" t="s">
        <v>89</v>
      </c>
      <c r="I905" s="21" t="s">
        <v>31</v>
      </c>
      <c r="J905" s="121"/>
    </row>
    <row r="906" spans="1:10">
      <c r="A906" s="8" t="s">
        <v>405</v>
      </c>
      <c r="B906" s="19">
        <v>610250</v>
      </c>
      <c r="C906" s="19">
        <v>518712.5</v>
      </c>
      <c r="D906" s="17">
        <f t="shared" si="57"/>
        <v>91537.5</v>
      </c>
      <c r="E906" s="2">
        <f t="shared" si="56"/>
        <v>0.17647058823529413</v>
      </c>
      <c r="F906" s="13" t="s">
        <v>1369</v>
      </c>
      <c r="G906" s="48" t="s">
        <v>1354</v>
      </c>
      <c r="H906" s="20" t="s">
        <v>124</v>
      </c>
      <c r="I906" s="21" t="s">
        <v>1370</v>
      </c>
      <c r="J906" s="121"/>
    </row>
    <row r="907" spans="1:10">
      <c r="A907" s="8" t="s">
        <v>405</v>
      </c>
      <c r="B907" s="19">
        <v>6300000</v>
      </c>
      <c r="C907" s="19">
        <v>6000000</v>
      </c>
      <c r="D907" s="17">
        <f t="shared" si="57"/>
        <v>300000</v>
      </c>
      <c r="E907" s="2">
        <f t="shared" si="56"/>
        <v>0.05</v>
      </c>
      <c r="F907" s="13" t="s">
        <v>1371</v>
      </c>
      <c r="G907" s="48" t="s">
        <v>1354</v>
      </c>
      <c r="H907" s="20" t="s">
        <v>30</v>
      </c>
      <c r="I907" s="21" t="s">
        <v>1372</v>
      </c>
      <c r="J907" s="121"/>
    </row>
    <row r="908" spans="1:10">
      <c r="A908" s="8" t="s">
        <v>1373</v>
      </c>
      <c r="B908" s="19">
        <v>6522900</v>
      </c>
      <c r="C908" s="19">
        <v>6315300</v>
      </c>
      <c r="D908" s="17">
        <f t="shared" si="57"/>
        <v>207600</v>
      </c>
      <c r="E908" s="2">
        <f t="shared" si="56"/>
        <v>3.287254762244074E-2</v>
      </c>
      <c r="F908" s="13" t="s">
        <v>1374</v>
      </c>
      <c r="G908" s="48" t="s">
        <v>1354</v>
      </c>
      <c r="H908" s="20" t="s">
        <v>30</v>
      </c>
      <c r="I908" s="21" t="s">
        <v>1375</v>
      </c>
      <c r="J908" s="121"/>
    </row>
    <row r="909" spans="1:10">
      <c r="A909" s="8" t="s">
        <v>1376</v>
      </c>
      <c r="B909" s="19">
        <v>5440980</v>
      </c>
      <c r="C909" s="19">
        <v>4881310</v>
      </c>
      <c r="D909" s="17">
        <f t="shared" si="57"/>
        <v>559670</v>
      </c>
      <c r="E909" s="2">
        <f t="shared" si="56"/>
        <v>0.1146556969338149</v>
      </c>
      <c r="F909" s="13" t="s">
        <v>1351</v>
      </c>
      <c r="G909" s="48" t="s">
        <v>1354</v>
      </c>
      <c r="H909" s="20" t="s">
        <v>89</v>
      </c>
      <c r="I909" s="21" t="s">
        <v>31</v>
      </c>
      <c r="J909" s="121"/>
    </row>
    <row r="910" spans="1:10">
      <c r="A910" s="8" t="s">
        <v>184</v>
      </c>
      <c r="B910" s="19">
        <v>3209520</v>
      </c>
      <c r="C910" s="19">
        <v>3127210</v>
      </c>
      <c r="D910" s="17">
        <f t="shared" si="57"/>
        <v>82310</v>
      </c>
      <c r="E910" s="2">
        <f t="shared" si="56"/>
        <v>2.6320586081523146E-2</v>
      </c>
      <c r="F910" s="13" t="s">
        <v>1377</v>
      </c>
      <c r="G910" s="48" t="s">
        <v>1354</v>
      </c>
      <c r="H910" s="20" t="s">
        <v>63</v>
      </c>
      <c r="I910" s="21" t="s">
        <v>317</v>
      </c>
      <c r="J910" s="121"/>
    </row>
    <row r="911" spans="1:10">
      <c r="A911" s="8" t="s">
        <v>184</v>
      </c>
      <c r="B911" s="19">
        <v>8675320</v>
      </c>
      <c r="C911" s="19">
        <v>8415510</v>
      </c>
      <c r="D911" s="17">
        <f t="shared" si="57"/>
        <v>259810</v>
      </c>
      <c r="E911" s="2">
        <f t="shared" si="56"/>
        <v>3.0872757563118577E-2</v>
      </c>
      <c r="F911" s="13" t="s">
        <v>609</v>
      </c>
      <c r="G911" s="48" t="s">
        <v>1354</v>
      </c>
      <c r="H911" s="20" t="s">
        <v>63</v>
      </c>
      <c r="I911" s="21" t="s">
        <v>317</v>
      </c>
      <c r="J911" s="121"/>
    </row>
    <row r="912" spans="1:10">
      <c r="A912" s="8" t="s">
        <v>184</v>
      </c>
      <c r="B912" s="19">
        <v>3660310</v>
      </c>
      <c r="C912" s="19">
        <v>3550420</v>
      </c>
      <c r="D912" s="17">
        <f t="shared" si="57"/>
        <v>109890</v>
      </c>
      <c r="E912" s="2">
        <f t="shared" ref="E912:E975" si="58">(B912-C912)/C912</f>
        <v>3.0951267737338119E-2</v>
      </c>
      <c r="F912" s="13" t="s">
        <v>1378</v>
      </c>
      <c r="G912" s="48" t="s">
        <v>1354</v>
      </c>
      <c r="H912" s="20" t="s">
        <v>63</v>
      </c>
      <c r="I912" s="21" t="s">
        <v>317</v>
      </c>
      <c r="J912" s="121"/>
    </row>
    <row r="913" spans="1:11">
      <c r="A913" s="8" t="s">
        <v>184</v>
      </c>
      <c r="B913" s="19">
        <v>5830260</v>
      </c>
      <c r="C913" s="19">
        <v>5655520</v>
      </c>
      <c r="D913" s="17">
        <f t="shared" si="57"/>
        <v>174740</v>
      </c>
      <c r="E913" s="2">
        <f t="shared" si="58"/>
        <v>3.0897247291142106E-2</v>
      </c>
      <c r="F913" s="13" t="s">
        <v>604</v>
      </c>
      <c r="G913" s="48" t="s">
        <v>1354</v>
      </c>
      <c r="H913" s="20" t="s">
        <v>63</v>
      </c>
      <c r="I913" s="21" t="s">
        <v>317</v>
      </c>
      <c r="J913" s="121"/>
    </row>
    <row r="914" spans="1:11">
      <c r="A914" s="8" t="s">
        <v>184</v>
      </c>
      <c r="B914" s="19">
        <v>9933660</v>
      </c>
      <c r="C914" s="19">
        <v>9635650</v>
      </c>
      <c r="D914" s="17">
        <f t="shared" ref="D914:D978" si="59">B914-C914</f>
        <v>298010</v>
      </c>
      <c r="E914" s="2">
        <f t="shared" si="58"/>
        <v>3.0927856449746514E-2</v>
      </c>
      <c r="F914" s="13" t="s">
        <v>1379</v>
      </c>
      <c r="G914" s="48" t="s">
        <v>1354</v>
      </c>
      <c r="H914" s="20" t="s">
        <v>63</v>
      </c>
      <c r="I914" s="21" t="s">
        <v>317</v>
      </c>
      <c r="J914" s="121"/>
    </row>
    <row r="915" spans="1:11">
      <c r="A915" s="8" t="s">
        <v>184</v>
      </c>
      <c r="B915" s="19">
        <v>9177270</v>
      </c>
      <c r="C915" s="19">
        <v>8902150</v>
      </c>
      <c r="D915" s="17">
        <f t="shared" si="59"/>
        <v>275120</v>
      </c>
      <c r="E915" s="2">
        <f t="shared" si="58"/>
        <v>3.0904893761619385E-2</v>
      </c>
      <c r="F915" s="13" t="s">
        <v>1009</v>
      </c>
      <c r="G915" s="48" t="s">
        <v>1354</v>
      </c>
      <c r="H915" s="20" t="s">
        <v>63</v>
      </c>
      <c r="I915" s="21" t="s">
        <v>317</v>
      </c>
      <c r="J915" s="121"/>
    </row>
    <row r="916" spans="1:11">
      <c r="A916" s="8" t="s">
        <v>184</v>
      </c>
      <c r="B916" s="19">
        <v>7777460</v>
      </c>
      <c r="C916" s="19">
        <v>7544175</v>
      </c>
      <c r="D916" s="17">
        <f t="shared" si="59"/>
        <v>233285</v>
      </c>
      <c r="E916" s="2">
        <f t="shared" si="58"/>
        <v>3.0922532947605271E-2</v>
      </c>
      <c r="F916" s="13" t="s">
        <v>1009</v>
      </c>
      <c r="G916" s="48" t="s">
        <v>1354</v>
      </c>
      <c r="H916" s="20" t="s">
        <v>63</v>
      </c>
      <c r="I916" s="21" t="s">
        <v>317</v>
      </c>
      <c r="J916" s="121"/>
      <c r="K916" s="4"/>
    </row>
    <row r="917" spans="1:11">
      <c r="A917" s="8" t="s">
        <v>148</v>
      </c>
      <c r="B917" s="19">
        <v>1683503</v>
      </c>
      <c r="C917" s="19">
        <v>1637373</v>
      </c>
      <c r="D917" s="17">
        <f t="shared" si="59"/>
        <v>46130</v>
      </c>
      <c r="E917" s="2">
        <f t="shared" si="58"/>
        <v>2.8173177400628933E-2</v>
      </c>
      <c r="F917" s="13" t="s">
        <v>1380</v>
      </c>
      <c r="G917" s="48" t="s">
        <v>1354</v>
      </c>
      <c r="H917" s="20" t="s">
        <v>63</v>
      </c>
      <c r="I917" s="21" t="s">
        <v>317</v>
      </c>
      <c r="J917" s="121"/>
    </row>
    <row r="918" spans="1:11">
      <c r="A918" s="8" t="s">
        <v>148</v>
      </c>
      <c r="B918" s="19">
        <v>1772348</v>
      </c>
      <c r="C918" s="19">
        <v>1723343</v>
      </c>
      <c r="D918" s="17">
        <f t="shared" si="59"/>
        <v>49005</v>
      </c>
      <c r="E918" s="2">
        <f t="shared" si="58"/>
        <v>2.8436010707096615E-2</v>
      </c>
      <c r="F918" s="13" t="s">
        <v>1381</v>
      </c>
      <c r="G918" s="48" t="s">
        <v>1354</v>
      </c>
      <c r="H918" s="20" t="s">
        <v>63</v>
      </c>
      <c r="I918" s="21" t="s">
        <v>317</v>
      </c>
      <c r="J918" s="121"/>
    </row>
    <row r="919" spans="1:11">
      <c r="A919" s="8" t="s">
        <v>148</v>
      </c>
      <c r="B919" s="19">
        <v>1378367</v>
      </c>
      <c r="C919" s="19">
        <v>1341804</v>
      </c>
      <c r="D919" s="17">
        <f t="shared" si="59"/>
        <v>36563</v>
      </c>
      <c r="E919" s="2">
        <f t="shared" si="58"/>
        <v>2.7249136237483269E-2</v>
      </c>
      <c r="F919" s="13" t="s">
        <v>1382</v>
      </c>
      <c r="G919" s="48" t="s">
        <v>1354</v>
      </c>
      <c r="H919" s="20" t="s">
        <v>63</v>
      </c>
      <c r="I919" s="21" t="s">
        <v>317</v>
      </c>
      <c r="J919" s="121"/>
      <c r="K919" s="24"/>
    </row>
    <row r="920" spans="1:11">
      <c r="A920" s="8" t="s">
        <v>148</v>
      </c>
      <c r="B920" s="19">
        <v>4384795</v>
      </c>
      <c r="C920" s="19">
        <v>4258835</v>
      </c>
      <c r="D920" s="17">
        <f t="shared" si="59"/>
        <v>125960</v>
      </c>
      <c r="E920" s="2">
        <f t="shared" si="58"/>
        <v>2.9576163434366441E-2</v>
      </c>
      <c r="F920" s="13" t="s">
        <v>1383</v>
      </c>
      <c r="G920" s="48" t="s">
        <v>1354</v>
      </c>
      <c r="H920" s="20" t="s">
        <v>63</v>
      </c>
      <c r="I920" s="21" t="s">
        <v>317</v>
      </c>
      <c r="J920" s="121"/>
    </row>
    <row r="921" spans="1:11">
      <c r="A921" s="8" t="s">
        <v>1218</v>
      </c>
      <c r="B921" s="19">
        <v>4200000</v>
      </c>
      <c r="C921" s="19">
        <v>3800000</v>
      </c>
      <c r="D921" s="17">
        <f t="shared" si="59"/>
        <v>400000</v>
      </c>
      <c r="E921" s="2">
        <f t="shared" si="58"/>
        <v>0.10526315789473684</v>
      </c>
      <c r="F921" s="13" t="s">
        <v>1384</v>
      </c>
      <c r="G921" s="48" t="s">
        <v>1354</v>
      </c>
      <c r="H921" s="20" t="s">
        <v>30</v>
      </c>
      <c r="I921" s="21" t="s">
        <v>1385</v>
      </c>
      <c r="J921" s="121"/>
    </row>
    <row r="922" spans="1:11">
      <c r="A922" s="8" t="s">
        <v>211</v>
      </c>
      <c r="B922" s="19">
        <v>3554090</v>
      </c>
      <c r="C922" s="19">
        <v>3198681</v>
      </c>
      <c r="D922" s="17">
        <f t="shared" si="59"/>
        <v>355409</v>
      </c>
      <c r="E922" s="2">
        <f t="shared" si="58"/>
        <v>0.1111111111111111</v>
      </c>
      <c r="F922" s="13" t="s">
        <v>1386</v>
      </c>
      <c r="G922" s="48" t="s">
        <v>1354</v>
      </c>
      <c r="H922" s="20" t="s">
        <v>30</v>
      </c>
      <c r="I922" s="21" t="s">
        <v>889</v>
      </c>
      <c r="J922" s="121"/>
    </row>
    <row r="923" spans="1:11">
      <c r="A923" s="8" t="s">
        <v>34</v>
      </c>
      <c r="B923" s="19">
        <v>2941120</v>
      </c>
      <c r="C923" s="19">
        <v>2647000</v>
      </c>
      <c r="D923" s="17">
        <f t="shared" si="59"/>
        <v>294120</v>
      </c>
      <c r="E923" s="2">
        <f t="shared" si="58"/>
        <v>0.11111446921042689</v>
      </c>
      <c r="F923" s="13" t="s">
        <v>1387</v>
      </c>
      <c r="G923" s="48" t="s">
        <v>1354</v>
      </c>
      <c r="H923" s="20" t="s">
        <v>30</v>
      </c>
      <c r="I923" s="21" t="s">
        <v>1005</v>
      </c>
      <c r="J923" s="121"/>
    </row>
    <row r="924" spans="1:11">
      <c r="A924" s="8" t="s">
        <v>459</v>
      </c>
      <c r="B924" s="19">
        <v>2520629.21</v>
      </c>
      <c r="C924" s="19">
        <v>2400659</v>
      </c>
      <c r="D924" s="17">
        <f t="shared" si="59"/>
        <v>119970.20999999996</v>
      </c>
      <c r="E924" s="2">
        <f t="shared" si="58"/>
        <v>4.9973865509428853E-2</v>
      </c>
      <c r="F924" s="13" t="s">
        <v>1388</v>
      </c>
      <c r="G924" s="48" t="s">
        <v>1354</v>
      </c>
      <c r="H924" s="20" t="s">
        <v>63</v>
      </c>
      <c r="I924" s="21" t="s">
        <v>317</v>
      </c>
      <c r="J924" s="121"/>
    </row>
    <row r="925" spans="1:11">
      <c r="A925" s="8" t="s">
        <v>34</v>
      </c>
      <c r="B925" s="19">
        <v>1762800</v>
      </c>
      <c r="C925" s="19">
        <v>1386520</v>
      </c>
      <c r="D925" s="17">
        <f t="shared" ref="D925" si="60">B925-C925</f>
        <v>376280</v>
      </c>
      <c r="E925" s="2">
        <f t="shared" ref="E925" si="61">(B925-C925)/C925</f>
        <v>0.271384473357759</v>
      </c>
      <c r="F925" s="13" t="s">
        <v>1389</v>
      </c>
      <c r="G925" s="48" t="s">
        <v>1354</v>
      </c>
      <c r="H925" s="20" t="s">
        <v>720</v>
      </c>
      <c r="I925" s="21"/>
      <c r="J925" s="121"/>
    </row>
    <row r="926" spans="1:11">
      <c r="A926" s="8" t="s">
        <v>1390</v>
      </c>
      <c r="B926" s="19">
        <v>8580000</v>
      </c>
      <c r="C926" s="19">
        <v>8050000</v>
      </c>
      <c r="D926" s="17">
        <f t="shared" si="59"/>
        <v>530000</v>
      </c>
      <c r="E926" s="2">
        <f t="shared" si="58"/>
        <v>6.5838509316770183E-2</v>
      </c>
      <c r="F926" s="13" t="s">
        <v>1391</v>
      </c>
      <c r="G926" s="48" t="s">
        <v>1354</v>
      </c>
      <c r="H926" s="20" t="s">
        <v>30</v>
      </c>
      <c r="I926" s="21" t="s">
        <v>1361</v>
      </c>
      <c r="J926" s="121"/>
    </row>
    <row r="927" spans="1:11">
      <c r="A927" s="8" t="s">
        <v>1392</v>
      </c>
      <c r="B927" s="19">
        <v>8203416</v>
      </c>
      <c r="C927" s="19">
        <v>8068416</v>
      </c>
      <c r="D927" s="17">
        <f t="shared" si="59"/>
        <v>135000</v>
      </c>
      <c r="E927" s="2">
        <f t="shared" si="58"/>
        <v>1.6731908716655166E-2</v>
      </c>
      <c r="F927" s="13" t="s">
        <v>1393</v>
      </c>
      <c r="G927" s="48" t="s">
        <v>1354</v>
      </c>
      <c r="H927" s="20" t="s">
        <v>30</v>
      </c>
      <c r="I927" s="21" t="s">
        <v>31</v>
      </c>
      <c r="J927" s="121"/>
    </row>
    <row r="928" spans="1:11">
      <c r="A928" s="8" t="s">
        <v>1394</v>
      </c>
      <c r="B928" s="19">
        <v>713000</v>
      </c>
      <c r="C928" s="19">
        <v>649000</v>
      </c>
      <c r="D928" s="17">
        <f t="shared" si="59"/>
        <v>64000</v>
      </c>
      <c r="E928" s="2">
        <f t="shared" si="58"/>
        <v>9.861325115562404E-2</v>
      </c>
      <c r="F928" s="13" t="s">
        <v>1395</v>
      </c>
      <c r="G928" s="48" t="s">
        <v>1354</v>
      </c>
      <c r="H928" s="20" t="s">
        <v>30</v>
      </c>
      <c r="I928" s="21" t="s">
        <v>1375</v>
      </c>
      <c r="J928" s="121"/>
    </row>
    <row r="929" spans="1:10">
      <c r="A929" s="8" t="s">
        <v>1396</v>
      </c>
      <c r="B929" s="19">
        <v>28121000</v>
      </c>
      <c r="C929" s="19">
        <v>26749250</v>
      </c>
      <c r="D929" s="17">
        <f t="shared" si="59"/>
        <v>1371750</v>
      </c>
      <c r="E929" s="2">
        <f t="shared" si="58"/>
        <v>5.1281811639578678E-2</v>
      </c>
      <c r="F929" s="13" t="s">
        <v>1397</v>
      </c>
      <c r="G929" s="48" t="s">
        <v>1354</v>
      </c>
      <c r="H929" s="20" t="s">
        <v>38</v>
      </c>
      <c r="I929" s="21" t="s">
        <v>1398</v>
      </c>
      <c r="J929" s="121"/>
    </row>
    <row r="930" spans="1:10">
      <c r="A930" s="8" t="s">
        <v>34</v>
      </c>
      <c r="B930" s="19">
        <v>20450000</v>
      </c>
      <c r="C930" s="19">
        <v>18814000</v>
      </c>
      <c r="D930" s="17">
        <f t="shared" si="59"/>
        <v>1636000</v>
      </c>
      <c r="E930" s="2">
        <f t="shared" si="58"/>
        <v>8.6956521739130432E-2</v>
      </c>
      <c r="F930" s="13" t="s">
        <v>1399</v>
      </c>
      <c r="G930" s="48" t="s">
        <v>1354</v>
      </c>
      <c r="H930" s="20" t="s">
        <v>30</v>
      </c>
      <c r="I930" s="21" t="s">
        <v>31</v>
      </c>
      <c r="J930" s="121"/>
    </row>
    <row r="931" spans="1:10">
      <c r="A931" s="8" t="s">
        <v>34</v>
      </c>
      <c r="B931" s="19">
        <v>870000</v>
      </c>
      <c r="C931" s="19">
        <v>564420</v>
      </c>
      <c r="D931" s="17">
        <f t="shared" si="59"/>
        <v>305580</v>
      </c>
      <c r="E931" s="2">
        <f t="shared" si="58"/>
        <v>0.54140533645157862</v>
      </c>
      <c r="F931" s="13" t="s">
        <v>1399</v>
      </c>
      <c r="G931" s="48" t="s">
        <v>1354</v>
      </c>
      <c r="H931" s="20" t="s">
        <v>38</v>
      </c>
      <c r="I931" s="21" t="s">
        <v>476</v>
      </c>
      <c r="J931" s="121"/>
    </row>
    <row r="932" spans="1:10">
      <c r="A932" s="8" t="s">
        <v>61</v>
      </c>
      <c r="B932" s="19">
        <v>809990</v>
      </c>
      <c r="C932" s="19">
        <v>799900</v>
      </c>
      <c r="D932" s="17">
        <f t="shared" si="59"/>
        <v>10090</v>
      </c>
      <c r="E932" s="2">
        <f t="shared" si="58"/>
        <v>1.261407675959495E-2</v>
      </c>
      <c r="F932" s="13" t="s">
        <v>1400</v>
      </c>
      <c r="G932" s="48" t="s">
        <v>1354</v>
      </c>
      <c r="H932" s="20" t="s">
        <v>63</v>
      </c>
      <c r="I932" s="21" t="s">
        <v>317</v>
      </c>
      <c r="J932" s="121"/>
    </row>
    <row r="933" spans="1:10">
      <c r="A933" s="8" t="s">
        <v>148</v>
      </c>
      <c r="B933" s="19">
        <v>5886584</v>
      </c>
      <c r="C933" s="19">
        <v>5702632</v>
      </c>
      <c r="D933" s="17">
        <f t="shared" si="59"/>
        <v>183952</v>
      </c>
      <c r="E933" s="2">
        <f t="shared" si="58"/>
        <v>3.2257385712421913E-2</v>
      </c>
      <c r="F933" s="13" t="s">
        <v>1401</v>
      </c>
      <c r="G933" s="48" t="s">
        <v>1354</v>
      </c>
      <c r="H933" s="20" t="s">
        <v>63</v>
      </c>
      <c r="I933" s="21" t="s">
        <v>317</v>
      </c>
      <c r="J933" s="121"/>
    </row>
    <row r="934" spans="1:10">
      <c r="A934" s="8" t="s">
        <v>148</v>
      </c>
      <c r="B934" s="19">
        <v>7129236</v>
      </c>
      <c r="C934" s="19">
        <v>6906450</v>
      </c>
      <c r="D934" s="17">
        <f t="shared" si="59"/>
        <v>222786</v>
      </c>
      <c r="E934" s="2">
        <f t="shared" si="58"/>
        <v>3.2257672176009382E-2</v>
      </c>
      <c r="F934" s="13" t="s">
        <v>1402</v>
      </c>
      <c r="G934" s="48" t="s">
        <v>1354</v>
      </c>
      <c r="H934" s="20" t="s">
        <v>63</v>
      </c>
      <c r="I934" s="21" t="s">
        <v>317</v>
      </c>
      <c r="J934" s="121"/>
    </row>
    <row r="935" spans="1:10">
      <c r="A935" s="8" t="s">
        <v>1403</v>
      </c>
      <c r="B935" s="19">
        <v>11560000</v>
      </c>
      <c r="C935" s="19">
        <v>11060000</v>
      </c>
      <c r="D935" s="17">
        <f t="shared" si="59"/>
        <v>500000</v>
      </c>
      <c r="E935" s="2">
        <f t="shared" si="58"/>
        <v>4.5207956600361664E-2</v>
      </c>
      <c r="F935" s="13" t="s">
        <v>1404</v>
      </c>
      <c r="G935" s="48" t="s">
        <v>1354</v>
      </c>
      <c r="H935" s="20" t="s">
        <v>63</v>
      </c>
      <c r="I935" s="21" t="s">
        <v>317</v>
      </c>
      <c r="J935" s="121"/>
    </row>
    <row r="936" spans="1:10">
      <c r="A936" s="8" t="s">
        <v>34</v>
      </c>
      <c r="B936" s="19">
        <v>1020000</v>
      </c>
      <c r="C936" s="19">
        <v>886920</v>
      </c>
      <c r="D936" s="17">
        <f t="shared" si="59"/>
        <v>133080</v>
      </c>
      <c r="E936" s="2">
        <f t="shared" si="58"/>
        <v>0.15004735489108376</v>
      </c>
      <c r="F936" s="13" t="s">
        <v>1405</v>
      </c>
      <c r="G936" s="48" t="s">
        <v>1354</v>
      </c>
      <c r="H936" s="20" t="s">
        <v>124</v>
      </c>
      <c r="I936" s="21"/>
      <c r="J936" s="121"/>
    </row>
    <row r="937" spans="1:10">
      <c r="A937" s="8" t="s">
        <v>34</v>
      </c>
      <c r="B937" s="19">
        <v>5514510</v>
      </c>
      <c r="C937" s="19">
        <v>5131200</v>
      </c>
      <c r="D937" s="17">
        <f t="shared" si="59"/>
        <v>383310</v>
      </c>
      <c r="E937" s="2">
        <f t="shared" si="58"/>
        <v>7.470182413470533E-2</v>
      </c>
      <c r="F937" s="13" t="s">
        <v>1406</v>
      </c>
      <c r="G937" s="48" t="s">
        <v>1354</v>
      </c>
      <c r="H937" s="20" t="s">
        <v>779</v>
      </c>
      <c r="I937" s="21"/>
      <c r="J937" s="121"/>
    </row>
    <row r="938" spans="1:10">
      <c r="A938" s="8" t="s">
        <v>85</v>
      </c>
      <c r="B938" s="19">
        <v>1200000</v>
      </c>
      <c r="C938" s="19">
        <v>980000</v>
      </c>
      <c r="D938" s="17">
        <f t="shared" si="59"/>
        <v>220000</v>
      </c>
      <c r="E938" s="2">
        <f t="shared" si="58"/>
        <v>0.22448979591836735</v>
      </c>
      <c r="F938" s="13" t="s">
        <v>1407</v>
      </c>
      <c r="G938" s="48" t="s">
        <v>1354</v>
      </c>
      <c r="H938" s="20" t="s">
        <v>30</v>
      </c>
      <c r="I938" s="21" t="s">
        <v>1375</v>
      </c>
      <c r="J938" s="121"/>
    </row>
    <row r="939" spans="1:10">
      <c r="A939" s="8" t="s">
        <v>1408</v>
      </c>
      <c r="B939" s="19">
        <v>30160000</v>
      </c>
      <c r="C939" s="19">
        <v>14975000</v>
      </c>
      <c r="D939" s="17">
        <f t="shared" si="59"/>
        <v>15185000</v>
      </c>
      <c r="E939" s="2">
        <f t="shared" si="58"/>
        <v>1.0140233722871452</v>
      </c>
      <c r="F939" s="13" t="s">
        <v>1409</v>
      </c>
      <c r="G939" s="48" t="s">
        <v>1354</v>
      </c>
      <c r="H939" s="20" t="s">
        <v>63</v>
      </c>
      <c r="I939" s="15" t="s">
        <v>229</v>
      </c>
      <c r="J939" s="121"/>
    </row>
    <row r="940" spans="1:10">
      <c r="A940" s="8" t="s">
        <v>1410</v>
      </c>
      <c r="B940" s="19">
        <v>4900000</v>
      </c>
      <c r="C940" s="19">
        <v>4655000</v>
      </c>
      <c r="D940" s="17">
        <f t="shared" si="59"/>
        <v>245000</v>
      </c>
      <c r="E940" s="2">
        <f t="shared" si="58"/>
        <v>5.2631578947368418E-2</v>
      </c>
      <c r="F940" s="13" t="s">
        <v>1411</v>
      </c>
      <c r="G940" s="48" t="s">
        <v>1354</v>
      </c>
      <c r="H940" s="20" t="s">
        <v>38</v>
      </c>
      <c r="I940" s="21"/>
      <c r="J940" s="121"/>
    </row>
    <row r="941" spans="1:10">
      <c r="A941" s="8" t="s">
        <v>1410</v>
      </c>
      <c r="B941" s="19">
        <v>8800000</v>
      </c>
      <c r="C941" s="19">
        <v>8000000</v>
      </c>
      <c r="D941" s="17">
        <f t="shared" si="59"/>
        <v>800000</v>
      </c>
      <c r="E941" s="2">
        <f t="shared" si="58"/>
        <v>0.1</v>
      </c>
      <c r="F941" s="13" t="s">
        <v>1412</v>
      </c>
      <c r="G941" s="48" t="s">
        <v>1354</v>
      </c>
      <c r="H941" s="20" t="s">
        <v>38</v>
      </c>
      <c r="I941" s="21"/>
      <c r="J941" s="121"/>
    </row>
    <row r="942" spans="1:10">
      <c r="A942" s="8" t="s">
        <v>1413</v>
      </c>
      <c r="B942" s="19">
        <v>6970000</v>
      </c>
      <c r="C942" s="19">
        <v>6420000</v>
      </c>
      <c r="D942" s="17">
        <f t="shared" si="59"/>
        <v>550000</v>
      </c>
      <c r="E942" s="2">
        <f t="shared" si="58"/>
        <v>8.566978193146417E-2</v>
      </c>
      <c r="F942" s="13" t="s">
        <v>1414</v>
      </c>
      <c r="G942" s="48" t="s">
        <v>1354</v>
      </c>
      <c r="H942" s="20" t="s">
        <v>38</v>
      </c>
      <c r="I942" s="21" t="s">
        <v>1415</v>
      </c>
      <c r="J942" s="121"/>
    </row>
    <row r="943" spans="1:10">
      <c r="A943" s="8" t="s">
        <v>1413</v>
      </c>
      <c r="B943" s="19">
        <v>5480000</v>
      </c>
      <c r="C943" s="19">
        <v>5020000</v>
      </c>
      <c r="D943" s="17">
        <f t="shared" si="59"/>
        <v>460000</v>
      </c>
      <c r="E943" s="2">
        <f t="shared" si="58"/>
        <v>9.1633466135458169E-2</v>
      </c>
      <c r="F943" s="13" t="s">
        <v>1416</v>
      </c>
      <c r="G943" s="48" t="s">
        <v>1354</v>
      </c>
      <c r="H943" s="20" t="s">
        <v>38</v>
      </c>
      <c r="I943" s="21" t="s">
        <v>1415</v>
      </c>
      <c r="J943" s="121"/>
    </row>
    <row r="944" spans="1:10">
      <c r="A944" s="8" t="s">
        <v>1413</v>
      </c>
      <c r="B944" s="19">
        <v>5480000</v>
      </c>
      <c r="C944" s="19">
        <v>5020000</v>
      </c>
      <c r="D944" s="17">
        <f t="shared" si="59"/>
        <v>460000</v>
      </c>
      <c r="E944" s="2">
        <f t="shared" si="58"/>
        <v>9.1633466135458169E-2</v>
      </c>
      <c r="F944" s="13" t="s">
        <v>1417</v>
      </c>
      <c r="G944" s="48" t="s">
        <v>1354</v>
      </c>
      <c r="H944" s="20" t="s">
        <v>38</v>
      </c>
      <c r="I944" s="21" t="s">
        <v>1415</v>
      </c>
      <c r="J944" s="121"/>
    </row>
    <row r="945" spans="1:10">
      <c r="A945" s="8" t="s">
        <v>1413</v>
      </c>
      <c r="B945" s="19">
        <v>5480000</v>
      </c>
      <c r="C945" s="19">
        <v>5020000</v>
      </c>
      <c r="D945" s="17">
        <f t="shared" si="59"/>
        <v>460000</v>
      </c>
      <c r="E945" s="2">
        <f t="shared" si="58"/>
        <v>9.1633466135458169E-2</v>
      </c>
      <c r="F945" s="13" t="s">
        <v>1418</v>
      </c>
      <c r="G945" s="48" t="s">
        <v>1354</v>
      </c>
      <c r="H945" s="20" t="s">
        <v>38</v>
      </c>
      <c r="I945" s="21" t="s">
        <v>1415</v>
      </c>
      <c r="J945" s="121"/>
    </row>
    <row r="946" spans="1:10">
      <c r="A946" s="8" t="s">
        <v>1419</v>
      </c>
      <c r="B946" s="19">
        <v>3684450</v>
      </c>
      <c r="C946" s="19">
        <v>3524000</v>
      </c>
      <c r="D946" s="17">
        <f t="shared" si="59"/>
        <v>160450</v>
      </c>
      <c r="E946" s="2">
        <f t="shared" si="58"/>
        <v>4.5530646992054481E-2</v>
      </c>
      <c r="F946" s="13" t="s">
        <v>1420</v>
      </c>
      <c r="G946" s="48" t="s">
        <v>1354</v>
      </c>
      <c r="H946" s="20" t="s">
        <v>30</v>
      </c>
      <c r="I946" s="21" t="s">
        <v>889</v>
      </c>
      <c r="J946" s="121"/>
    </row>
    <row r="947" spans="1:10">
      <c r="A947" s="8" t="s">
        <v>34</v>
      </c>
      <c r="B947" s="19">
        <v>781250</v>
      </c>
      <c r="C947" s="19">
        <v>728560</v>
      </c>
      <c r="D947" s="17">
        <f t="shared" si="59"/>
        <v>52690</v>
      </c>
      <c r="E947" s="2">
        <f t="shared" si="58"/>
        <v>7.2320742286153511E-2</v>
      </c>
      <c r="F947" s="13" t="s">
        <v>1421</v>
      </c>
      <c r="G947" s="48" t="s">
        <v>1354</v>
      </c>
      <c r="H947" s="20" t="s">
        <v>234</v>
      </c>
      <c r="I947" s="21" t="s">
        <v>1422</v>
      </c>
      <c r="J947" s="121"/>
    </row>
    <row r="948" spans="1:10">
      <c r="A948" s="8" t="s">
        <v>34</v>
      </c>
      <c r="B948" s="19">
        <v>3818760</v>
      </c>
      <c r="C948" s="19">
        <v>3551447</v>
      </c>
      <c r="D948" s="17">
        <f t="shared" si="59"/>
        <v>267313</v>
      </c>
      <c r="E948" s="2">
        <f t="shared" si="58"/>
        <v>7.5268756650458249E-2</v>
      </c>
      <c r="F948" s="13" t="s">
        <v>1423</v>
      </c>
      <c r="G948" s="48" t="s">
        <v>1354</v>
      </c>
      <c r="H948" s="20" t="s">
        <v>234</v>
      </c>
      <c r="I948" s="21" t="s">
        <v>1424</v>
      </c>
      <c r="J948" s="121"/>
    </row>
    <row r="949" spans="1:10">
      <c r="A949" s="8" t="s">
        <v>34</v>
      </c>
      <c r="B949" s="19">
        <v>409680</v>
      </c>
      <c r="C949" s="19">
        <v>383040</v>
      </c>
      <c r="D949" s="17">
        <f t="shared" si="59"/>
        <v>26640</v>
      </c>
      <c r="E949" s="2">
        <f t="shared" si="58"/>
        <v>6.9548872180451124E-2</v>
      </c>
      <c r="F949" s="13" t="s">
        <v>1425</v>
      </c>
      <c r="G949" s="48" t="s">
        <v>1354</v>
      </c>
      <c r="H949" s="20" t="s">
        <v>234</v>
      </c>
      <c r="I949" s="21" t="s">
        <v>1424</v>
      </c>
      <c r="J949" s="121"/>
    </row>
    <row r="950" spans="1:10">
      <c r="A950" s="8" t="s">
        <v>1396</v>
      </c>
      <c r="B950" s="19">
        <v>15830725</v>
      </c>
      <c r="C950" s="19">
        <v>15273275</v>
      </c>
      <c r="D950" s="17">
        <f t="shared" si="59"/>
        <v>557450</v>
      </c>
      <c r="E950" s="2">
        <f t="shared" si="58"/>
        <v>3.6498393435592566E-2</v>
      </c>
      <c r="F950" s="13" t="s">
        <v>1426</v>
      </c>
      <c r="G950" s="48" t="s">
        <v>1354</v>
      </c>
      <c r="H950" s="20" t="s">
        <v>124</v>
      </c>
      <c r="I950" s="21" t="s">
        <v>150</v>
      </c>
      <c r="J950" s="121"/>
    </row>
    <row r="951" spans="1:10">
      <c r="A951" s="8" t="s">
        <v>1396</v>
      </c>
      <c r="B951" s="19">
        <v>34245000</v>
      </c>
      <c r="C951" s="19">
        <v>33114250</v>
      </c>
      <c r="D951" s="17">
        <f t="shared" si="59"/>
        <v>1130750</v>
      </c>
      <c r="E951" s="2">
        <f t="shared" si="58"/>
        <v>3.4146930702039155E-2</v>
      </c>
      <c r="F951" s="13" t="s">
        <v>1426</v>
      </c>
      <c r="G951" s="48" t="s">
        <v>1354</v>
      </c>
      <c r="H951" s="20" t="s">
        <v>124</v>
      </c>
      <c r="I951" s="21" t="s">
        <v>1370</v>
      </c>
      <c r="J951" s="121"/>
    </row>
    <row r="952" spans="1:10">
      <c r="A952" s="8" t="s">
        <v>775</v>
      </c>
      <c r="B952" s="19">
        <v>3427000</v>
      </c>
      <c r="C952" s="19">
        <v>3290350</v>
      </c>
      <c r="D952" s="17">
        <f>B952-C952</f>
        <v>136650</v>
      </c>
      <c r="E952" s="2">
        <f>(B952-C952)/C952</f>
        <v>4.1530536265138966E-2</v>
      </c>
      <c r="F952" s="13" t="s">
        <v>1427</v>
      </c>
      <c r="G952" s="48" t="s">
        <v>1354</v>
      </c>
      <c r="H952" s="20" t="s">
        <v>124</v>
      </c>
      <c r="I952" s="21" t="s">
        <v>150</v>
      </c>
      <c r="J952" s="121"/>
    </row>
    <row r="953" spans="1:10">
      <c r="A953" s="8" t="s">
        <v>405</v>
      </c>
      <c r="B953" s="19">
        <v>1450000</v>
      </c>
      <c r="C953" s="19">
        <v>1250000</v>
      </c>
      <c r="D953" s="17">
        <f t="shared" si="59"/>
        <v>200000</v>
      </c>
      <c r="E953" s="2">
        <f t="shared" si="58"/>
        <v>0.16</v>
      </c>
      <c r="F953" s="13" t="s">
        <v>1428</v>
      </c>
      <c r="G953" s="48" t="s">
        <v>1354</v>
      </c>
      <c r="H953" s="23" t="s">
        <v>30</v>
      </c>
      <c r="I953" s="49" t="s">
        <v>1372</v>
      </c>
      <c r="J953" s="121"/>
    </row>
    <row r="954" spans="1:10">
      <c r="A954" s="8" t="s">
        <v>573</v>
      </c>
      <c r="B954" s="19">
        <v>7920000</v>
      </c>
      <c r="C954" s="19">
        <v>7480000</v>
      </c>
      <c r="D954" s="17">
        <f t="shared" si="59"/>
        <v>440000</v>
      </c>
      <c r="E954" s="2">
        <f t="shared" si="58"/>
        <v>5.8823529411764705E-2</v>
      </c>
      <c r="F954" s="20" t="s">
        <v>1429</v>
      </c>
      <c r="G954" s="48" t="s">
        <v>1354</v>
      </c>
      <c r="H954" s="21" t="s">
        <v>63</v>
      </c>
      <c r="I954" s="21" t="s">
        <v>317</v>
      </c>
      <c r="J954" s="121"/>
    </row>
    <row r="955" spans="1:10">
      <c r="A955" s="8" t="s">
        <v>1365</v>
      </c>
      <c r="B955" s="19">
        <v>12910406</v>
      </c>
      <c r="C955" s="19">
        <v>12630606</v>
      </c>
      <c r="D955" s="17">
        <f t="shared" si="59"/>
        <v>279800</v>
      </c>
      <c r="E955" s="2">
        <f t="shared" si="58"/>
        <v>2.2152539632698542E-2</v>
      </c>
      <c r="F955" s="20" t="s">
        <v>1430</v>
      </c>
      <c r="G955" s="48" t="s">
        <v>1354</v>
      </c>
      <c r="H955" s="21" t="s">
        <v>30</v>
      </c>
      <c r="I955" s="21" t="s">
        <v>31</v>
      </c>
      <c r="J955" s="121"/>
    </row>
    <row r="956" spans="1:10">
      <c r="A956" s="8" t="s">
        <v>1431</v>
      </c>
      <c r="B956" s="19">
        <v>16180000</v>
      </c>
      <c r="C956" s="19">
        <v>15480000</v>
      </c>
      <c r="D956" s="17">
        <f t="shared" si="59"/>
        <v>700000</v>
      </c>
      <c r="E956" s="2">
        <f t="shared" si="58"/>
        <v>4.5219638242894059E-2</v>
      </c>
      <c r="F956" s="13" t="s">
        <v>1432</v>
      </c>
      <c r="G956" s="48" t="s">
        <v>1354</v>
      </c>
      <c r="H956" s="21" t="s">
        <v>30</v>
      </c>
      <c r="I956" s="21" t="s">
        <v>1361</v>
      </c>
      <c r="J956" s="121"/>
    </row>
    <row r="957" spans="1:10">
      <c r="A957" s="8" t="s">
        <v>405</v>
      </c>
      <c r="B957" s="19">
        <v>4025000</v>
      </c>
      <c r="C957" s="19">
        <v>3900000</v>
      </c>
      <c r="D957" s="17">
        <f t="shared" si="59"/>
        <v>125000</v>
      </c>
      <c r="E957" s="2">
        <f t="shared" si="58"/>
        <v>3.2051282051282048E-2</v>
      </c>
      <c r="F957" s="13" t="s">
        <v>1433</v>
      </c>
      <c r="G957" s="48" t="s">
        <v>1354</v>
      </c>
      <c r="H957" s="21" t="s">
        <v>30</v>
      </c>
      <c r="I957" s="21" t="s">
        <v>1361</v>
      </c>
      <c r="J957" s="121"/>
    </row>
    <row r="958" spans="1:10">
      <c r="A958" s="8" t="s">
        <v>1434</v>
      </c>
      <c r="B958" s="19">
        <v>110630200</v>
      </c>
      <c r="C958" s="19">
        <v>89857000</v>
      </c>
      <c r="D958" s="17">
        <f t="shared" si="59"/>
        <v>20773200</v>
      </c>
      <c r="E958" s="2">
        <f t="shared" si="58"/>
        <v>0.23118065370533181</v>
      </c>
      <c r="F958" s="13" t="s">
        <v>1435</v>
      </c>
      <c r="G958" s="48" t="s">
        <v>1354</v>
      </c>
      <c r="H958" s="20" t="s">
        <v>63</v>
      </c>
      <c r="I958" s="21" t="s">
        <v>691</v>
      </c>
      <c r="J958" s="121"/>
    </row>
    <row r="959" spans="1:10">
      <c r="A959" s="8" t="s">
        <v>1436</v>
      </c>
      <c r="B959" s="19">
        <v>74019330</v>
      </c>
      <c r="C959" s="19">
        <v>50000000</v>
      </c>
      <c r="D959" s="17">
        <f t="shared" si="59"/>
        <v>24019330</v>
      </c>
      <c r="E959" s="2">
        <f t="shared" si="58"/>
        <v>0.4803866</v>
      </c>
      <c r="F959" s="13" t="s">
        <v>1437</v>
      </c>
      <c r="G959" s="48" t="s">
        <v>1354</v>
      </c>
      <c r="H959" s="20" t="s">
        <v>63</v>
      </c>
      <c r="I959" s="21" t="s">
        <v>1438</v>
      </c>
      <c r="J959" s="121"/>
    </row>
    <row r="960" spans="1:10">
      <c r="A960" s="8" t="s">
        <v>1439</v>
      </c>
      <c r="B960" s="19">
        <v>23143000</v>
      </c>
      <c r="C960" s="19">
        <v>20828000</v>
      </c>
      <c r="D960" s="17">
        <f>B960-C960</f>
        <v>2315000</v>
      </c>
      <c r="E960" s="2">
        <f>(B960-C960)/C960</f>
        <v>0.11114845400422509</v>
      </c>
      <c r="F960" s="13" t="s">
        <v>1440</v>
      </c>
      <c r="G960" s="48" t="s">
        <v>1354</v>
      </c>
      <c r="H960" s="20" t="s">
        <v>294</v>
      </c>
      <c r="I960" s="21"/>
      <c r="J960" s="121"/>
    </row>
    <row r="961" spans="1:10">
      <c r="A961" s="8" t="s">
        <v>181</v>
      </c>
      <c r="B961" s="19">
        <v>7946560</v>
      </c>
      <c r="C961" s="19">
        <v>7196555</v>
      </c>
      <c r="D961" s="17">
        <f t="shared" si="59"/>
        <v>750005</v>
      </c>
      <c r="E961" s="2">
        <f t="shared" si="58"/>
        <v>0.1042172261589052</v>
      </c>
      <c r="F961" s="13" t="s">
        <v>1441</v>
      </c>
      <c r="G961" s="48" t="s">
        <v>1354</v>
      </c>
      <c r="H961" s="20" t="s">
        <v>30</v>
      </c>
      <c r="I961" s="21" t="s">
        <v>31</v>
      </c>
      <c r="J961" s="121"/>
    </row>
    <row r="962" spans="1:10">
      <c r="A962" s="8" t="s">
        <v>1442</v>
      </c>
      <c r="B962" s="19">
        <v>9720000</v>
      </c>
      <c r="C962" s="19">
        <v>7920000</v>
      </c>
      <c r="D962" s="17">
        <f t="shared" si="59"/>
        <v>1800000</v>
      </c>
      <c r="E962" s="2">
        <f t="shared" si="58"/>
        <v>0.22727272727272727</v>
      </c>
      <c r="F962" s="13" t="s">
        <v>1443</v>
      </c>
      <c r="G962" s="48" t="s">
        <v>1354</v>
      </c>
      <c r="H962" s="20" t="s">
        <v>124</v>
      </c>
      <c r="I962" s="21"/>
      <c r="J962" s="121"/>
    </row>
    <row r="963" spans="1:10">
      <c r="A963" s="8" t="s">
        <v>1322</v>
      </c>
      <c r="B963" s="19">
        <v>12518429</v>
      </c>
      <c r="C963" s="19">
        <v>7756095</v>
      </c>
      <c r="D963" s="17">
        <f t="shared" si="59"/>
        <v>4762334</v>
      </c>
      <c r="E963" s="2">
        <f t="shared" si="58"/>
        <v>0.61401181909195279</v>
      </c>
      <c r="F963" s="13" t="s">
        <v>1444</v>
      </c>
      <c r="G963" s="48" t="s">
        <v>1354</v>
      </c>
      <c r="H963" s="20" t="s">
        <v>30</v>
      </c>
      <c r="I963" s="21" t="s">
        <v>320</v>
      </c>
      <c r="J963" s="121"/>
    </row>
    <row r="964" spans="1:10">
      <c r="A964" s="8" t="s">
        <v>776</v>
      </c>
      <c r="B964" s="19">
        <v>2680862</v>
      </c>
      <c r="C964" s="19">
        <v>2546819</v>
      </c>
      <c r="D964" s="17">
        <f t="shared" si="59"/>
        <v>134043</v>
      </c>
      <c r="E964" s="2">
        <f t="shared" si="58"/>
        <v>5.2631537616139978E-2</v>
      </c>
      <c r="F964" s="13" t="s">
        <v>1445</v>
      </c>
      <c r="G964" s="48" t="s">
        <v>1354</v>
      </c>
      <c r="H964" s="20" t="s">
        <v>30</v>
      </c>
      <c r="I964" s="21" t="s">
        <v>320</v>
      </c>
      <c r="J964" s="121"/>
    </row>
    <row r="965" spans="1:10">
      <c r="A965" s="8" t="s">
        <v>405</v>
      </c>
      <c r="B965" s="19">
        <v>8368780</v>
      </c>
      <c r="C965" s="19">
        <v>8057163</v>
      </c>
      <c r="D965" s="17">
        <f t="shared" si="59"/>
        <v>311617</v>
      </c>
      <c r="E965" s="2">
        <f t="shared" si="58"/>
        <v>3.8675772104895978E-2</v>
      </c>
      <c r="F965" s="13" t="s">
        <v>1446</v>
      </c>
      <c r="G965" s="48" t="s">
        <v>1354</v>
      </c>
      <c r="H965" s="20" t="s">
        <v>63</v>
      </c>
      <c r="I965" s="21" t="s">
        <v>559</v>
      </c>
      <c r="J965" s="121"/>
    </row>
    <row r="966" spans="1:10">
      <c r="A966" s="8" t="s">
        <v>1447</v>
      </c>
      <c r="B966" s="19">
        <v>52500000</v>
      </c>
      <c r="C966" s="19">
        <v>48000000</v>
      </c>
      <c r="D966" s="17">
        <f t="shared" si="59"/>
        <v>4500000</v>
      </c>
      <c r="E966" s="2">
        <f t="shared" si="58"/>
        <v>9.375E-2</v>
      </c>
      <c r="F966" s="13" t="s">
        <v>1448</v>
      </c>
      <c r="G966" s="48" t="s">
        <v>1354</v>
      </c>
      <c r="H966" s="20" t="s">
        <v>110</v>
      </c>
      <c r="I966" s="21" t="s">
        <v>1449</v>
      </c>
      <c r="J966" s="121"/>
    </row>
    <row r="967" spans="1:10">
      <c r="A967" s="8" t="s">
        <v>525</v>
      </c>
      <c r="B967" s="19">
        <v>8800000</v>
      </c>
      <c r="C967" s="19">
        <v>8050000</v>
      </c>
      <c r="D967" s="17">
        <f t="shared" si="59"/>
        <v>750000</v>
      </c>
      <c r="E967" s="2">
        <f t="shared" si="58"/>
        <v>9.3167701863354033E-2</v>
      </c>
      <c r="F967" s="13" t="s">
        <v>1450</v>
      </c>
      <c r="G967" s="48" t="s">
        <v>1354</v>
      </c>
      <c r="H967" s="20" t="s">
        <v>124</v>
      </c>
      <c r="I967" s="21" t="s">
        <v>1451</v>
      </c>
      <c r="J967" s="121"/>
    </row>
    <row r="968" spans="1:10">
      <c r="A968" s="8" t="s">
        <v>1439</v>
      </c>
      <c r="B968" s="19">
        <v>5250000</v>
      </c>
      <c r="C968" s="19">
        <v>4750000</v>
      </c>
      <c r="D968" s="17">
        <f t="shared" si="59"/>
        <v>500000</v>
      </c>
      <c r="E968" s="2">
        <f t="shared" si="58"/>
        <v>0.10526315789473684</v>
      </c>
      <c r="F968" s="13" t="s">
        <v>1452</v>
      </c>
      <c r="G968" s="48" t="s">
        <v>1354</v>
      </c>
      <c r="H968" s="20" t="s">
        <v>38</v>
      </c>
      <c r="I968" s="21" t="s">
        <v>1415</v>
      </c>
      <c r="J968" s="121"/>
    </row>
    <row r="969" spans="1:10">
      <c r="A969" s="8" t="s">
        <v>845</v>
      </c>
      <c r="B969" s="19">
        <v>8315400</v>
      </c>
      <c r="C969" s="19">
        <v>8065980</v>
      </c>
      <c r="D969" s="17">
        <f t="shared" si="59"/>
        <v>249420</v>
      </c>
      <c r="E969" s="2">
        <f t="shared" si="58"/>
        <v>3.0922466953798546E-2</v>
      </c>
      <c r="F969" s="13" t="s">
        <v>1453</v>
      </c>
      <c r="G969" s="48" t="s">
        <v>1354</v>
      </c>
      <c r="H969" s="20" t="s">
        <v>30</v>
      </c>
      <c r="I969" s="21" t="s">
        <v>1454</v>
      </c>
      <c r="J969" s="121"/>
    </row>
    <row r="970" spans="1:10">
      <c r="A970" s="8" t="s">
        <v>174</v>
      </c>
      <c r="B970" s="19">
        <v>6907900</v>
      </c>
      <c r="C970" s="19">
        <v>6657700</v>
      </c>
      <c r="D970" s="17">
        <f t="shared" si="59"/>
        <v>250200</v>
      </c>
      <c r="E970" s="2">
        <f t="shared" si="58"/>
        <v>3.7580545834146925E-2</v>
      </c>
      <c r="F970" s="13" t="s">
        <v>1453</v>
      </c>
      <c r="G970" s="48" t="s">
        <v>1354</v>
      </c>
      <c r="H970" s="20" t="s">
        <v>30</v>
      </c>
      <c r="I970" s="21" t="s">
        <v>1454</v>
      </c>
      <c r="J970" s="121"/>
    </row>
    <row r="971" spans="1:10">
      <c r="A971" s="8" t="s">
        <v>186</v>
      </c>
      <c r="B971" s="19">
        <v>7861400</v>
      </c>
      <c r="C971" s="19">
        <v>7561400</v>
      </c>
      <c r="D971" s="17">
        <f t="shared" si="59"/>
        <v>300000</v>
      </c>
      <c r="E971" s="2">
        <f t="shared" si="58"/>
        <v>3.9675192424683259E-2</v>
      </c>
      <c r="F971" s="13" t="s">
        <v>1455</v>
      </c>
      <c r="G971" s="48" t="s">
        <v>1354</v>
      </c>
      <c r="H971" s="20" t="s">
        <v>63</v>
      </c>
      <c r="I971" s="21" t="s">
        <v>691</v>
      </c>
      <c r="J971" s="121"/>
    </row>
    <row r="972" spans="1:10">
      <c r="A972" s="8" t="s">
        <v>186</v>
      </c>
      <c r="B972" s="19">
        <v>15433000</v>
      </c>
      <c r="C972" s="19">
        <v>14567800</v>
      </c>
      <c r="D972" s="17">
        <f t="shared" si="59"/>
        <v>865200</v>
      </c>
      <c r="E972" s="2">
        <f t="shared" si="58"/>
        <v>5.9391260176553766E-2</v>
      </c>
      <c r="F972" s="13" t="s">
        <v>1456</v>
      </c>
      <c r="G972" s="48" t="s">
        <v>1354</v>
      </c>
      <c r="H972" s="20" t="s">
        <v>38</v>
      </c>
      <c r="I972" s="21"/>
      <c r="J972" s="121"/>
    </row>
    <row r="973" spans="1:10">
      <c r="A973" s="8" t="s">
        <v>186</v>
      </c>
      <c r="B973" s="19">
        <v>26462000</v>
      </c>
      <c r="C973" s="19">
        <v>24945600</v>
      </c>
      <c r="D973" s="17">
        <f t="shared" si="59"/>
        <v>1516400</v>
      </c>
      <c r="E973" s="2">
        <f t="shared" si="58"/>
        <v>6.0788275287024567E-2</v>
      </c>
      <c r="F973" s="13" t="s">
        <v>1457</v>
      </c>
      <c r="G973" s="48" t="s">
        <v>1354</v>
      </c>
      <c r="H973" s="20" t="s">
        <v>38</v>
      </c>
      <c r="I973" s="21"/>
      <c r="J973" s="121"/>
    </row>
    <row r="974" spans="1:10">
      <c r="A974" s="8" t="s">
        <v>405</v>
      </c>
      <c r="B974" s="19">
        <v>4000000</v>
      </c>
      <c r="C974" s="19">
        <v>3800000</v>
      </c>
      <c r="D974" s="17">
        <f t="shared" si="59"/>
        <v>200000</v>
      </c>
      <c r="E974" s="2">
        <f t="shared" si="58"/>
        <v>5.2631578947368418E-2</v>
      </c>
      <c r="F974" s="13" t="s">
        <v>1458</v>
      </c>
      <c r="G974" s="48" t="s">
        <v>1354</v>
      </c>
      <c r="H974" s="20" t="s">
        <v>110</v>
      </c>
      <c r="I974" s="21" t="s">
        <v>301</v>
      </c>
      <c r="J974" s="121"/>
    </row>
    <row r="975" spans="1:10">
      <c r="A975" s="8" t="s">
        <v>405</v>
      </c>
      <c r="B975" s="19">
        <v>2400000</v>
      </c>
      <c r="C975" s="19">
        <v>2200000</v>
      </c>
      <c r="D975" s="17">
        <f t="shared" si="59"/>
        <v>200000</v>
      </c>
      <c r="E975" s="2">
        <f t="shared" si="58"/>
        <v>9.0909090909090912E-2</v>
      </c>
      <c r="F975" s="13" t="s">
        <v>1459</v>
      </c>
      <c r="G975" s="48" t="s">
        <v>1354</v>
      </c>
      <c r="H975" s="20" t="s">
        <v>110</v>
      </c>
      <c r="I975" s="21" t="s">
        <v>301</v>
      </c>
      <c r="J975" s="116"/>
    </row>
    <row r="976" spans="1:10">
      <c r="A976" s="163" t="s">
        <v>824</v>
      </c>
      <c r="B976" s="163"/>
      <c r="C976" s="163"/>
      <c r="D976" s="163"/>
      <c r="E976" s="163"/>
      <c r="F976" s="163"/>
      <c r="G976" s="163"/>
      <c r="H976" s="163"/>
      <c r="I976" s="164"/>
      <c r="J976" s="116"/>
    </row>
    <row r="977" spans="1:10">
      <c r="A977" s="8" t="s">
        <v>1460</v>
      </c>
      <c r="B977" s="19">
        <v>6406635</v>
      </c>
      <c r="C977" s="117">
        <v>6193081</v>
      </c>
      <c r="D977" s="27">
        <f t="shared" si="59"/>
        <v>213554</v>
      </c>
      <c r="E977" s="70">
        <f t="shared" ref="E977:E1013" si="62">(B977-C977)/C977</f>
        <v>3.4482675101455966E-2</v>
      </c>
      <c r="F977" s="13" t="s">
        <v>1461</v>
      </c>
      <c r="G977" s="48" t="s">
        <v>1462</v>
      </c>
      <c r="H977" s="20" t="s">
        <v>855</v>
      </c>
      <c r="I977" s="21" t="s">
        <v>828</v>
      </c>
      <c r="J977" s="141">
        <f>SUM(D977:D1055)</f>
        <v>37943465.100000001</v>
      </c>
    </row>
    <row r="978" spans="1:10">
      <c r="A978" s="8" t="s">
        <v>1463</v>
      </c>
      <c r="B978" s="19">
        <v>1355000</v>
      </c>
      <c r="C978" s="19">
        <v>1311000</v>
      </c>
      <c r="D978" s="17">
        <f t="shared" si="59"/>
        <v>44000</v>
      </c>
      <c r="E978" s="2">
        <f t="shared" si="62"/>
        <v>3.3562166285278416E-2</v>
      </c>
      <c r="F978" s="13" t="s">
        <v>1406</v>
      </c>
      <c r="G978" s="48" t="s">
        <v>1462</v>
      </c>
      <c r="H978" s="20" t="s">
        <v>855</v>
      </c>
      <c r="I978" s="21" t="s">
        <v>1464</v>
      </c>
      <c r="J978" s="141"/>
    </row>
    <row r="979" spans="1:10">
      <c r="A979" s="8" t="s">
        <v>1463</v>
      </c>
      <c r="B979" s="19">
        <v>1883000</v>
      </c>
      <c r="C979" s="19">
        <v>1608800</v>
      </c>
      <c r="D979" s="17">
        <f t="shared" ref="D979:D1013" si="63">B979-C979</f>
        <v>274200</v>
      </c>
      <c r="E979" s="2">
        <f t="shared" si="62"/>
        <v>0.17043759323719543</v>
      </c>
      <c r="F979" s="13" t="s">
        <v>1406</v>
      </c>
      <c r="G979" s="48" t="s">
        <v>1462</v>
      </c>
      <c r="H979" s="20" t="s">
        <v>855</v>
      </c>
      <c r="I979" s="21" t="s">
        <v>1465</v>
      </c>
      <c r="J979" s="141"/>
    </row>
    <row r="980" spans="1:10">
      <c r="A980" s="8" t="s">
        <v>148</v>
      </c>
      <c r="B980" s="19">
        <v>1941682</v>
      </c>
      <c r="C980" s="19">
        <v>1833814</v>
      </c>
      <c r="D980" s="17">
        <f t="shared" si="63"/>
        <v>107868</v>
      </c>
      <c r="E980" s="2">
        <f t="shared" si="62"/>
        <v>5.8821668936980522E-2</v>
      </c>
      <c r="F980" s="13" t="s">
        <v>1466</v>
      </c>
      <c r="G980" s="48" t="s">
        <v>1462</v>
      </c>
      <c r="H980" s="20" t="s">
        <v>855</v>
      </c>
      <c r="I980" s="21" t="s">
        <v>828</v>
      </c>
      <c r="J980" s="141"/>
    </row>
    <row r="981" spans="1:10">
      <c r="A981" s="8" t="s">
        <v>306</v>
      </c>
      <c r="B981" s="19">
        <v>3394261</v>
      </c>
      <c r="C981" s="19">
        <v>3299976</v>
      </c>
      <c r="D981" s="17">
        <f t="shared" si="63"/>
        <v>94285</v>
      </c>
      <c r="E981" s="2">
        <f t="shared" si="62"/>
        <v>2.8571419913356946E-2</v>
      </c>
      <c r="F981" s="13" t="s">
        <v>1467</v>
      </c>
      <c r="G981" s="48" t="s">
        <v>1462</v>
      </c>
      <c r="H981" s="20" t="s">
        <v>38</v>
      </c>
      <c r="I981" s="21" t="s">
        <v>1398</v>
      </c>
      <c r="J981" s="141"/>
    </row>
    <row r="982" spans="1:10">
      <c r="A982" s="8" t="s">
        <v>206</v>
      </c>
      <c r="B982" s="19">
        <v>7215000</v>
      </c>
      <c r="C982" s="19">
        <v>6855250</v>
      </c>
      <c r="D982" s="17">
        <f t="shared" si="63"/>
        <v>359750</v>
      </c>
      <c r="E982" s="2">
        <f t="shared" si="62"/>
        <v>5.2478027788920897E-2</v>
      </c>
      <c r="F982" s="13" t="s">
        <v>1468</v>
      </c>
      <c r="G982" s="48" t="s">
        <v>1462</v>
      </c>
      <c r="H982" s="20" t="s">
        <v>63</v>
      </c>
      <c r="I982" s="21" t="s">
        <v>317</v>
      </c>
      <c r="J982" s="141"/>
    </row>
    <row r="983" spans="1:10">
      <c r="A983" s="8" t="s">
        <v>206</v>
      </c>
      <c r="B983" s="19">
        <v>15775000</v>
      </c>
      <c r="C983" s="19">
        <v>14986250</v>
      </c>
      <c r="D983" s="17">
        <f t="shared" si="63"/>
        <v>788750</v>
      </c>
      <c r="E983" s="2">
        <f t="shared" si="62"/>
        <v>5.2631578947368418E-2</v>
      </c>
      <c r="F983" s="13" t="s">
        <v>606</v>
      </c>
      <c r="G983" s="48" t="s">
        <v>1462</v>
      </c>
      <c r="H983" s="20" t="s">
        <v>63</v>
      </c>
      <c r="I983" s="21" t="s">
        <v>317</v>
      </c>
      <c r="J983" s="141"/>
    </row>
    <row r="984" spans="1:10">
      <c r="A984" s="8" t="s">
        <v>619</v>
      </c>
      <c r="B984" s="19">
        <v>5100000</v>
      </c>
      <c r="C984" s="19">
        <v>4820000</v>
      </c>
      <c r="D984" s="17">
        <f t="shared" si="63"/>
        <v>280000</v>
      </c>
      <c r="E984" s="2">
        <f t="shared" si="62"/>
        <v>5.8091286307053944E-2</v>
      </c>
      <c r="F984" s="13" t="s">
        <v>1469</v>
      </c>
      <c r="G984" s="48" t="s">
        <v>1462</v>
      </c>
      <c r="H984" s="20" t="s">
        <v>63</v>
      </c>
      <c r="I984" s="21" t="s">
        <v>317</v>
      </c>
      <c r="J984" s="141"/>
    </row>
    <row r="985" spans="1:10">
      <c r="A985" s="8" t="s">
        <v>1470</v>
      </c>
      <c r="B985" s="19">
        <v>15990000</v>
      </c>
      <c r="C985" s="19">
        <v>15000000</v>
      </c>
      <c r="D985" s="17">
        <f t="shared" si="63"/>
        <v>990000</v>
      </c>
      <c r="E985" s="2">
        <f t="shared" si="62"/>
        <v>6.6000000000000003E-2</v>
      </c>
      <c r="F985" s="13" t="s">
        <v>1471</v>
      </c>
      <c r="G985" s="48" t="s">
        <v>1462</v>
      </c>
      <c r="H985" s="20" t="s">
        <v>124</v>
      </c>
      <c r="I985" s="21"/>
      <c r="J985" s="141"/>
    </row>
    <row r="986" spans="1:10">
      <c r="A986" s="8" t="s">
        <v>34</v>
      </c>
      <c r="B986" s="19">
        <v>1762800</v>
      </c>
      <c r="C986" s="19">
        <v>1586520</v>
      </c>
      <c r="D986" s="17">
        <f t="shared" si="63"/>
        <v>176280</v>
      </c>
      <c r="E986" s="2">
        <f t="shared" si="62"/>
        <v>0.1111111111111111</v>
      </c>
      <c r="F986" s="13" t="s">
        <v>1472</v>
      </c>
      <c r="G986" s="48" t="s">
        <v>1462</v>
      </c>
      <c r="H986" s="20" t="s">
        <v>234</v>
      </c>
      <c r="I986" s="21" t="s">
        <v>1424</v>
      </c>
      <c r="J986" s="141"/>
    </row>
    <row r="987" spans="1:10">
      <c r="A987" s="8" t="s">
        <v>1396</v>
      </c>
      <c r="B987" s="19">
        <v>33114250</v>
      </c>
      <c r="C987" s="19">
        <v>31328875</v>
      </c>
      <c r="D987" s="17">
        <f t="shared" si="63"/>
        <v>1785375</v>
      </c>
      <c r="E987" s="2">
        <f t="shared" si="62"/>
        <v>5.6988161879416355E-2</v>
      </c>
      <c r="F987" s="13" t="s">
        <v>1473</v>
      </c>
      <c r="G987" s="48" t="s">
        <v>1462</v>
      </c>
      <c r="H987" s="20" t="s">
        <v>124</v>
      </c>
      <c r="I987" s="21"/>
      <c r="J987" s="141"/>
    </row>
    <row r="988" spans="1:10">
      <c r="A988" s="8" t="s">
        <v>1396</v>
      </c>
      <c r="B988" s="19">
        <v>15273275</v>
      </c>
      <c r="C988" s="19">
        <v>14333825</v>
      </c>
      <c r="D988" s="17">
        <f t="shared" si="63"/>
        <v>939450</v>
      </c>
      <c r="E988" s="2">
        <f t="shared" si="62"/>
        <v>6.5540775054809167E-2</v>
      </c>
      <c r="F988" s="13" t="s">
        <v>1473</v>
      </c>
      <c r="G988" s="48" t="s">
        <v>1462</v>
      </c>
      <c r="H988" s="20" t="s">
        <v>124</v>
      </c>
      <c r="I988" s="21"/>
      <c r="J988" s="141"/>
    </row>
    <row r="989" spans="1:10">
      <c r="A989" s="8" t="s">
        <v>1396</v>
      </c>
      <c r="B989" s="19">
        <v>12129985</v>
      </c>
      <c r="C989" s="19">
        <v>11466400</v>
      </c>
      <c r="D989" s="17">
        <f t="shared" si="63"/>
        <v>663585</v>
      </c>
      <c r="E989" s="2">
        <f t="shared" si="62"/>
        <v>5.7872130747226677E-2</v>
      </c>
      <c r="F989" s="14" t="s">
        <v>1473</v>
      </c>
      <c r="G989" s="48" t="s">
        <v>1462</v>
      </c>
      <c r="H989" s="20" t="s">
        <v>124</v>
      </c>
      <c r="I989" s="21"/>
      <c r="J989" s="141"/>
    </row>
    <row r="990" spans="1:10">
      <c r="A990" s="8" t="s">
        <v>468</v>
      </c>
      <c r="B990" s="19">
        <v>2225412</v>
      </c>
      <c r="C990" s="19">
        <v>2157575</v>
      </c>
      <c r="D990" s="17">
        <f t="shared" si="63"/>
        <v>67837</v>
      </c>
      <c r="E990" s="44">
        <f t="shared" si="62"/>
        <v>3.1441317219563628E-2</v>
      </c>
      <c r="F990" s="71" t="s">
        <v>1474</v>
      </c>
      <c r="G990" s="48" t="s">
        <v>1462</v>
      </c>
      <c r="H990" s="20" t="s">
        <v>440</v>
      </c>
      <c r="I990" s="21" t="s">
        <v>831</v>
      </c>
      <c r="J990" s="141"/>
    </row>
    <row r="991" spans="1:10">
      <c r="A991" s="8" t="s">
        <v>468</v>
      </c>
      <c r="B991" s="19">
        <v>1286873</v>
      </c>
      <c r="C991" s="19">
        <v>1255893</v>
      </c>
      <c r="D991" s="17">
        <f t="shared" si="63"/>
        <v>30980</v>
      </c>
      <c r="E991" s="44">
        <f t="shared" si="62"/>
        <v>2.4667706564173858E-2</v>
      </c>
      <c r="F991" s="71" t="s">
        <v>1475</v>
      </c>
      <c r="G991" s="48" t="s">
        <v>1462</v>
      </c>
      <c r="H991" s="20" t="s">
        <v>440</v>
      </c>
      <c r="I991" s="21" t="s">
        <v>831</v>
      </c>
      <c r="J991" s="141"/>
    </row>
    <row r="992" spans="1:10">
      <c r="A992" s="8" t="s">
        <v>468</v>
      </c>
      <c r="B992" s="19">
        <v>1290139</v>
      </c>
      <c r="C992" s="19">
        <v>1254679</v>
      </c>
      <c r="D992" s="17">
        <f t="shared" si="63"/>
        <v>35460</v>
      </c>
      <c r="E992" s="44">
        <f t="shared" si="62"/>
        <v>2.8262208899646844E-2</v>
      </c>
      <c r="F992" s="71" t="s">
        <v>1476</v>
      </c>
      <c r="G992" s="48" t="s">
        <v>1462</v>
      </c>
      <c r="H992" s="20" t="s">
        <v>440</v>
      </c>
      <c r="I992" s="21" t="s">
        <v>831</v>
      </c>
      <c r="J992" s="141"/>
    </row>
    <row r="993" spans="1:10">
      <c r="A993" s="8" t="s">
        <v>1094</v>
      </c>
      <c r="B993" s="19">
        <v>2438610</v>
      </c>
      <c r="C993" s="19">
        <v>2365450</v>
      </c>
      <c r="D993" s="17">
        <f t="shared" si="63"/>
        <v>73160</v>
      </c>
      <c r="E993" s="44">
        <f t="shared" si="62"/>
        <v>3.0928575958062948E-2</v>
      </c>
      <c r="F993" s="71" t="s">
        <v>1477</v>
      </c>
      <c r="G993" s="48" t="s">
        <v>1462</v>
      </c>
      <c r="H993" s="20" t="s">
        <v>440</v>
      </c>
      <c r="I993" s="21" t="s">
        <v>831</v>
      </c>
      <c r="J993" s="141"/>
    </row>
    <row r="994" spans="1:10">
      <c r="A994" s="8" t="s">
        <v>1094</v>
      </c>
      <c r="B994" s="19">
        <v>5266860</v>
      </c>
      <c r="C994" s="19">
        <v>5116375</v>
      </c>
      <c r="D994" s="17">
        <f t="shared" si="63"/>
        <v>150485</v>
      </c>
      <c r="E994" s="2">
        <f t="shared" si="62"/>
        <v>2.9412425789743714E-2</v>
      </c>
      <c r="F994" s="118" t="s">
        <v>1478</v>
      </c>
      <c r="G994" s="48" t="s">
        <v>1462</v>
      </c>
      <c r="H994" s="20" t="s">
        <v>440</v>
      </c>
      <c r="I994" s="21" t="s">
        <v>831</v>
      </c>
      <c r="J994" s="141"/>
    </row>
    <row r="995" spans="1:10">
      <c r="A995" s="8" t="s">
        <v>870</v>
      </c>
      <c r="B995" s="19">
        <v>4587000</v>
      </c>
      <c r="C995" s="19">
        <v>4357650</v>
      </c>
      <c r="D995" s="17">
        <f t="shared" si="63"/>
        <v>229350</v>
      </c>
      <c r="E995" s="2">
        <f t="shared" si="62"/>
        <v>5.2631578947368418E-2</v>
      </c>
      <c r="F995" s="71" t="s">
        <v>1479</v>
      </c>
      <c r="G995" s="48" t="s">
        <v>1462</v>
      </c>
      <c r="H995" s="20" t="s">
        <v>440</v>
      </c>
      <c r="I995" s="21" t="s">
        <v>831</v>
      </c>
      <c r="J995" s="141"/>
    </row>
    <row r="996" spans="1:10">
      <c r="A996" s="8" t="s">
        <v>870</v>
      </c>
      <c r="B996" s="19">
        <v>2565000</v>
      </c>
      <c r="C996" s="19">
        <v>2436900</v>
      </c>
      <c r="D996" s="17">
        <f t="shared" si="63"/>
        <v>128100</v>
      </c>
      <c r="E996" s="2">
        <f t="shared" si="62"/>
        <v>5.2566785670318847E-2</v>
      </c>
      <c r="F996" s="13" t="s">
        <v>1480</v>
      </c>
      <c r="G996" s="48" t="s">
        <v>1462</v>
      </c>
      <c r="H996" s="20" t="s">
        <v>440</v>
      </c>
      <c r="I996" s="21" t="s">
        <v>831</v>
      </c>
      <c r="J996" s="141"/>
    </row>
    <row r="997" spans="1:10">
      <c r="A997" s="8" t="s">
        <v>65</v>
      </c>
      <c r="B997" s="19">
        <v>13200000</v>
      </c>
      <c r="C997" s="19">
        <v>10200000</v>
      </c>
      <c r="D997" s="17">
        <f t="shared" si="63"/>
        <v>3000000</v>
      </c>
      <c r="E997" s="2">
        <f t="shared" si="62"/>
        <v>0.29411764705882354</v>
      </c>
      <c r="F997" s="13" t="s">
        <v>1481</v>
      </c>
      <c r="G997" s="48" t="s">
        <v>1462</v>
      </c>
      <c r="H997" s="20" t="s">
        <v>30</v>
      </c>
      <c r="I997" s="21" t="s">
        <v>310</v>
      </c>
      <c r="J997" s="141"/>
    </row>
    <row r="998" spans="1:10">
      <c r="A998" s="8" t="s">
        <v>1482</v>
      </c>
      <c r="B998" s="19">
        <v>188832</v>
      </c>
      <c r="C998" s="19">
        <v>174844</v>
      </c>
      <c r="D998" s="17">
        <f t="shared" si="63"/>
        <v>13988</v>
      </c>
      <c r="E998" s="2">
        <f t="shared" si="62"/>
        <v>8.0002745304385628E-2</v>
      </c>
      <c r="F998" s="13" t="s">
        <v>1483</v>
      </c>
      <c r="G998" s="48" t="s">
        <v>1462</v>
      </c>
      <c r="H998" s="20" t="s">
        <v>440</v>
      </c>
      <c r="I998" s="21" t="s">
        <v>831</v>
      </c>
      <c r="J998" s="141"/>
    </row>
    <row r="999" spans="1:10">
      <c r="A999" s="8" t="s">
        <v>1080</v>
      </c>
      <c r="B999" s="19">
        <v>3204091</v>
      </c>
      <c r="C999" s="19">
        <v>3116298</v>
      </c>
      <c r="D999" s="17">
        <f t="shared" si="63"/>
        <v>87793</v>
      </c>
      <c r="E999" s="2">
        <f t="shared" si="62"/>
        <v>2.8172209461354465E-2</v>
      </c>
      <c r="F999" s="13" t="s">
        <v>1484</v>
      </c>
      <c r="G999" s="48" t="s">
        <v>1462</v>
      </c>
      <c r="H999" s="20" t="s">
        <v>440</v>
      </c>
      <c r="I999" s="21" t="s">
        <v>831</v>
      </c>
      <c r="J999" s="141"/>
    </row>
    <row r="1000" spans="1:10">
      <c r="A1000" s="8" t="s">
        <v>692</v>
      </c>
      <c r="B1000" s="19">
        <v>8581830</v>
      </c>
      <c r="C1000" s="19">
        <v>8059182</v>
      </c>
      <c r="D1000" s="17">
        <f t="shared" si="63"/>
        <v>522648</v>
      </c>
      <c r="E1000" s="2">
        <f t="shared" si="62"/>
        <v>6.4851246689800524E-2</v>
      </c>
      <c r="F1000" s="13" t="s">
        <v>1485</v>
      </c>
      <c r="G1000" s="48" t="s">
        <v>1462</v>
      </c>
      <c r="H1000" s="20"/>
      <c r="I1000" s="21" t="s">
        <v>1486</v>
      </c>
      <c r="J1000" s="141"/>
    </row>
    <row r="1001" spans="1:10">
      <c r="A1001" s="8" t="s">
        <v>1487</v>
      </c>
      <c r="B1001" s="19">
        <v>6009250</v>
      </c>
      <c r="C1001" s="19">
        <v>5384200</v>
      </c>
      <c r="D1001" s="17">
        <f t="shared" si="63"/>
        <v>625050</v>
      </c>
      <c r="E1001" s="2">
        <f t="shared" si="62"/>
        <v>0.11608966977452546</v>
      </c>
      <c r="F1001" s="13" t="s">
        <v>1488</v>
      </c>
      <c r="G1001" s="48" t="s">
        <v>1462</v>
      </c>
      <c r="H1001" s="20" t="s">
        <v>440</v>
      </c>
      <c r="I1001" s="21" t="s">
        <v>1489</v>
      </c>
      <c r="J1001" s="141"/>
    </row>
    <row r="1002" spans="1:10">
      <c r="A1002" s="8" t="s">
        <v>1490</v>
      </c>
      <c r="B1002" s="19">
        <v>770250</v>
      </c>
      <c r="C1002" s="19">
        <v>738350</v>
      </c>
      <c r="D1002" s="17">
        <f t="shared" si="63"/>
        <v>31900</v>
      </c>
      <c r="E1002" s="2">
        <f t="shared" si="62"/>
        <v>4.3204442337644748E-2</v>
      </c>
      <c r="F1002" s="13" t="s">
        <v>1491</v>
      </c>
      <c r="G1002" s="48" t="s">
        <v>1462</v>
      </c>
      <c r="H1002" s="20" t="s">
        <v>391</v>
      </c>
      <c r="I1002" s="21"/>
      <c r="J1002" s="141"/>
    </row>
    <row r="1003" spans="1:10">
      <c r="A1003" s="8" t="s">
        <v>1492</v>
      </c>
      <c r="B1003" s="19">
        <v>5500000</v>
      </c>
      <c r="C1003" s="19">
        <v>4950000</v>
      </c>
      <c r="D1003" s="17">
        <f t="shared" si="63"/>
        <v>550000</v>
      </c>
      <c r="E1003" s="2">
        <f t="shared" si="62"/>
        <v>0.1111111111111111</v>
      </c>
      <c r="F1003" s="13" t="s">
        <v>1493</v>
      </c>
      <c r="G1003" s="48" t="s">
        <v>1462</v>
      </c>
      <c r="H1003" s="20" t="s">
        <v>440</v>
      </c>
      <c r="I1003" s="21" t="s">
        <v>1494</v>
      </c>
      <c r="J1003" s="141"/>
    </row>
    <row r="1004" spans="1:10" ht="15.75">
      <c r="A1004" s="8" t="s">
        <v>1080</v>
      </c>
      <c r="B1004" s="19">
        <v>2164458</v>
      </c>
      <c r="C1004" s="19">
        <v>2104928</v>
      </c>
      <c r="D1004" s="17">
        <f t="shared" ref="D1004" si="64">B1004-C1004</f>
        <v>59530</v>
      </c>
      <c r="E1004" s="2">
        <f t="shared" ref="E1004" si="65">(B1004-C1004)/C1004</f>
        <v>2.8281252375378159E-2</v>
      </c>
      <c r="F1004" s="63" t="s">
        <v>1495</v>
      </c>
      <c r="G1004" s="48" t="s">
        <v>1462</v>
      </c>
      <c r="H1004" s="20" t="s">
        <v>440</v>
      </c>
      <c r="I1004" s="21" t="s">
        <v>831</v>
      </c>
      <c r="J1004" s="141"/>
    </row>
    <row r="1005" spans="1:10">
      <c r="A1005" s="8" t="s">
        <v>1080</v>
      </c>
      <c r="B1005" s="19">
        <v>2133720</v>
      </c>
      <c r="C1005" s="19">
        <v>2046450</v>
      </c>
      <c r="D1005" s="17">
        <f t="shared" si="63"/>
        <v>87270</v>
      </c>
      <c r="E1005" s="2">
        <f t="shared" si="62"/>
        <v>4.2644579637909553E-2</v>
      </c>
      <c r="F1005" s="13" t="s">
        <v>1496</v>
      </c>
      <c r="G1005" s="48" t="s">
        <v>1462</v>
      </c>
      <c r="H1005" s="20" t="s">
        <v>30</v>
      </c>
      <c r="I1005" s="21" t="s">
        <v>1497</v>
      </c>
      <c r="J1005" s="141"/>
    </row>
    <row r="1006" spans="1:10">
      <c r="A1006" s="8" t="s">
        <v>1396</v>
      </c>
      <c r="B1006" s="19">
        <v>544452000</v>
      </c>
      <c r="C1006" s="19">
        <v>530328000</v>
      </c>
      <c r="D1006" s="17">
        <f t="shared" si="63"/>
        <v>14124000</v>
      </c>
      <c r="E1006" s="2">
        <f t="shared" si="62"/>
        <v>2.6632574557632259E-2</v>
      </c>
      <c r="F1006" s="13" t="s">
        <v>1498</v>
      </c>
      <c r="G1006" s="48" t="s">
        <v>1462</v>
      </c>
      <c r="H1006" s="20" t="s">
        <v>440</v>
      </c>
      <c r="I1006" s="21" t="s">
        <v>1499</v>
      </c>
      <c r="J1006" s="141"/>
    </row>
    <row r="1007" spans="1:10">
      <c r="A1007" s="8" t="s">
        <v>1080</v>
      </c>
      <c r="B1007" s="19">
        <v>2421536</v>
      </c>
      <c r="C1007" s="19">
        <v>2309916</v>
      </c>
      <c r="D1007" s="17">
        <f t="shared" si="63"/>
        <v>111620</v>
      </c>
      <c r="E1007" s="2">
        <f t="shared" si="62"/>
        <v>4.8322103487745877E-2</v>
      </c>
      <c r="F1007" s="13" t="s">
        <v>1500</v>
      </c>
      <c r="G1007" s="48" t="s">
        <v>1462</v>
      </c>
      <c r="H1007" s="20" t="s">
        <v>440</v>
      </c>
      <c r="I1007" s="21" t="s">
        <v>831</v>
      </c>
      <c r="J1007" s="141"/>
    </row>
    <row r="1008" spans="1:10" ht="15.75">
      <c r="A1008" s="8" t="s">
        <v>1080</v>
      </c>
      <c r="B1008" s="19">
        <v>3711184</v>
      </c>
      <c r="C1008" s="19">
        <v>3607319</v>
      </c>
      <c r="D1008" s="17">
        <f t="shared" si="63"/>
        <v>103865</v>
      </c>
      <c r="E1008" s="2">
        <f t="shared" si="62"/>
        <v>2.8792851422344407E-2</v>
      </c>
      <c r="F1008" s="63" t="s">
        <v>1501</v>
      </c>
      <c r="G1008" s="48" t="s">
        <v>1462</v>
      </c>
      <c r="H1008" s="20" t="s">
        <v>440</v>
      </c>
      <c r="I1008" s="21" t="s">
        <v>831</v>
      </c>
      <c r="J1008" s="141"/>
    </row>
    <row r="1009" spans="1:10">
      <c r="A1009" s="8" t="s">
        <v>1502</v>
      </c>
      <c r="B1009" s="19">
        <v>1740000</v>
      </c>
      <c r="C1009" s="19">
        <v>1566000</v>
      </c>
      <c r="D1009" s="17">
        <f t="shared" si="63"/>
        <v>174000</v>
      </c>
      <c r="E1009" s="2">
        <f t="shared" si="62"/>
        <v>0.1111111111111111</v>
      </c>
      <c r="F1009" s="13" t="s">
        <v>1503</v>
      </c>
      <c r="G1009" s="48" t="s">
        <v>1462</v>
      </c>
      <c r="H1009" s="20"/>
      <c r="I1009" s="21" t="s">
        <v>1504</v>
      </c>
      <c r="J1009" s="141"/>
    </row>
    <row r="1010" spans="1:10">
      <c r="A1010" s="8" t="s">
        <v>1505</v>
      </c>
      <c r="B1010" s="19">
        <v>3230000</v>
      </c>
      <c r="C1010" s="19">
        <v>3050000</v>
      </c>
      <c r="D1010" s="17">
        <f t="shared" si="63"/>
        <v>180000</v>
      </c>
      <c r="E1010" s="2">
        <f t="shared" si="62"/>
        <v>5.9016393442622953E-2</v>
      </c>
      <c r="F1010" s="13" t="s">
        <v>1506</v>
      </c>
      <c r="G1010" s="48" t="s">
        <v>1462</v>
      </c>
      <c r="H1010" s="48" t="s">
        <v>1507</v>
      </c>
      <c r="I1010" s="21"/>
      <c r="J1010" s="141"/>
    </row>
    <row r="1011" spans="1:10">
      <c r="A1011" s="8" t="s">
        <v>1505</v>
      </c>
      <c r="B1011" s="19">
        <v>10810000</v>
      </c>
      <c r="C1011" s="19">
        <v>10280000</v>
      </c>
      <c r="D1011" s="17">
        <f t="shared" si="63"/>
        <v>530000</v>
      </c>
      <c r="E1011" s="2">
        <f t="shared" si="62"/>
        <v>5.1556420233463032E-2</v>
      </c>
      <c r="F1011" s="13" t="s">
        <v>1508</v>
      </c>
      <c r="G1011" s="48" t="s">
        <v>1462</v>
      </c>
      <c r="H1011" s="20" t="s">
        <v>440</v>
      </c>
      <c r="I1011" s="21" t="s">
        <v>831</v>
      </c>
      <c r="J1011" s="141"/>
    </row>
    <row r="1012" spans="1:10" ht="15.75">
      <c r="A1012" s="8" t="s">
        <v>1505</v>
      </c>
      <c r="B1012" s="19">
        <v>5995000</v>
      </c>
      <c r="C1012" s="19">
        <v>5645000</v>
      </c>
      <c r="D1012" s="17">
        <f t="shared" ref="D1012:D1074" si="66">B1012-C1012</f>
        <v>350000</v>
      </c>
      <c r="E1012" s="2">
        <f t="shared" ref="E1012:E1074" si="67">(B1012-C1012)/C1012</f>
        <v>6.2001771479185119E-2</v>
      </c>
      <c r="F1012" s="63" t="s">
        <v>1509</v>
      </c>
      <c r="G1012" s="48" t="s">
        <v>1462</v>
      </c>
      <c r="H1012" s="20" t="s">
        <v>440</v>
      </c>
      <c r="I1012" s="21" t="s">
        <v>831</v>
      </c>
      <c r="J1012" s="141"/>
    </row>
    <row r="1013" spans="1:10">
      <c r="A1013" s="8" t="s">
        <v>148</v>
      </c>
      <c r="B1013" s="19">
        <v>609840</v>
      </c>
      <c r="C1013" s="19">
        <v>592900</v>
      </c>
      <c r="D1013" s="17">
        <f t="shared" si="66"/>
        <v>16940</v>
      </c>
      <c r="E1013" s="2">
        <f t="shared" si="67"/>
        <v>2.8571428571428571E-2</v>
      </c>
      <c r="F1013" s="13" t="s">
        <v>326</v>
      </c>
      <c r="G1013" s="48" t="s">
        <v>1462</v>
      </c>
      <c r="H1013" s="20" t="s">
        <v>440</v>
      </c>
      <c r="I1013" s="21" t="s">
        <v>831</v>
      </c>
      <c r="J1013" s="141"/>
    </row>
    <row r="1014" spans="1:10">
      <c r="A1014" s="8" t="s">
        <v>148</v>
      </c>
      <c r="B1014" s="19">
        <v>1651725</v>
      </c>
      <c r="C1014" s="19">
        <v>1600043</v>
      </c>
      <c r="D1014" s="17">
        <f t="shared" si="66"/>
        <v>51682</v>
      </c>
      <c r="E1014" s="2">
        <f t="shared" si="67"/>
        <v>3.2300381927235708E-2</v>
      </c>
      <c r="F1014" s="13" t="s">
        <v>1510</v>
      </c>
      <c r="G1014" s="48" t="s">
        <v>1462</v>
      </c>
      <c r="H1014" s="20" t="s">
        <v>440</v>
      </c>
      <c r="I1014" s="21" t="s">
        <v>831</v>
      </c>
      <c r="J1014" s="141"/>
    </row>
    <row r="1015" spans="1:10">
      <c r="A1015" s="8" t="s">
        <v>148</v>
      </c>
      <c r="B1015" s="19">
        <v>1651725</v>
      </c>
      <c r="C1015" s="19">
        <v>1600043</v>
      </c>
      <c r="D1015" s="17">
        <f t="shared" si="66"/>
        <v>51682</v>
      </c>
      <c r="E1015" s="2">
        <f t="shared" si="67"/>
        <v>3.2300381927235708E-2</v>
      </c>
      <c r="F1015" s="13" t="s">
        <v>688</v>
      </c>
      <c r="G1015" s="48" t="s">
        <v>1462</v>
      </c>
      <c r="H1015" s="20" t="s">
        <v>440</v>
      </c>
      <c r="I1015" s="21" t="s">
        <v>831</v>
      </c>
      <c r="J1015" s="141"/>
    </row>
    <row r="1016" spans="1:10">
      <c r="A1016" s="8" t="s">
        <v>545</v>
      </c>
      <c r="B1016" s="19">
        <v>15823000</v>
      </c>
      <c r="C1016" s="19">
        <v>14980500</v>
      </c>
      <c r="D1016" s="17">
        <f t="shared" si="66"/>
        <v>842500</v>
      </c>
      <c r="E1016" s="2">
        <f t="shared" si="67"/>
        <v>5.6239778378558793E-2</v>
      </c>
      <c r="F1016" s="13" t="s">
        <v>1511</v>
      </c>
      <c r="G1016" s="48" t="s">
        <v>1462</v>
      </c>
      <c r="H1016" s="20" t="s">
        <v>440</v>
      </c>
      <c r="I1016" s="21" t="s">
        <v>831</v>
      </c>
      <c r="J1016" s="141"/>
    </row>
    <row r="1017" spans="1:10">
      <c r="A1017" s="8" t="s">
        <v>172</v>
      </c>
      <c r="B1017" s="19">
        <v>7750000</v>
      </c>
      <c r="C1017" s="19">
        <v>7045450</v>
      </c>
      <c r="D1017" s="17">
        <f t="shared" si="66"/>
        <v>704550</v>
      </c>
      <c r="E1017" s="2">
        <f t="shared" si="67"/>
        <v>0.10000070967787721</v>
      </c>
      <c r="F1017" s="13" t="s">
        <v>1512</v>
      </c>
      <c r="G1017" s="48" t="s">
        <v>1462</v>
      </c>
      <c r="H1017" s="20" t="s">
        <v>38</v>
      </c>
      <c r="I1017" s="21"/>
      <c r="J1017" s="141"/>
    </row>
    <row r="1018" spans="1:10">
      <c r="A1018" s="8" t="s">
        <v>989</v>
      </c>
      <c r="B1018" s="19">
        <v>1718750</v>
      </c>
      <c r="C1018" s="19">
        <v>1546875</v>
      </c>
      <c r="D1018" s="17">
        <f t="shared" si="66"/>
        <v>171875</v>
      </c>
      <c r="E1018" s="2">
        <f t="shared" si="67"/>
        <v>0.1111111111111111</v>
      </c>
      <c r="F1018" s="13" t="s">
        <v>1513</v>
      </c>
      <c r="G1018" s="48" t="s">
        <v>1462</v>
      </c>
      <c r="H1018" s="20" t="s">
        <v>30</v>
      </c>
      <c r="I1018" s="21" t="s">
        <v>543</v>
      </c>
      <c r="J1018" s="141"/>
    </row>
    <row r="1019" spans="1:10">
      <c r="A1019" s="8" t="s">
        <v>989</v>
      </c>
      <c r="B1019" s="19">
        <v>1950000</v>
      </c>
      <c r="C1019" s="19">
        <v>1755000</v>
      </c>
      <c r="D1019" s="17">
        <f t="shared" si="66"/>
        <v>195000</v>
      </c>
      <c r="E1019" s="2">
        <f t="shared" si="67"/>
        <v>0.1111111111111111</v>
      </c>
      <c r="F1019" s="13" t="s">
        <v>1514</v>
      </c>
      <c r="G1019" s="48" t="s">
        <v>1462</v>
      </c>
      <c r="H1019" s="20" t="s">
        <v>30</v>
      </c>
      <c r="I1019" s="21" t="s">
        <v>543</v>
      </c>
      <c r="J1019" s="141"/>
    </row>
    <row r="1020" spans="1:10">
      <c r="A1020" s="8" t="s">
        <v>148</v>
      </c>
      <c r="B1020" s="19">
        <v>4753070</v>
      </c>
      <c r="C1020" s="19">
        <v>4620993</v>
      </c>
      <c r="D1020" s="17">
        <f t="shared" si="66"/>
        <v>132077</v>
      </c>
      <c r="E1020" s="2">
        <f t="shared" si="67"/>
        <v>2.8581951974391652E-2</v>
      </c>
      <c r="F1020" s="13" t="s">
        <v>1515</v>
      </c>
      <c r="G1020" s="48" t="s">
        <v>1462</v>
      </c>
      <c r="H1020" s="20" t="s">
        <v>334</v>
      </c>
      <c r="I1020" s="21" t="s">
        <v>1449</v>
      </c>
      <c r="J1020" s="141"/>
    </row>
    <row r="1021" spans="1:10">
      <c r="A1021" s="8" t="s">
        <v>148</v>
      </c>
      <c r="B1021" s="19">
        <v>543458</v>
      </c>
      <c r="C1021" s="19">
        <v>528362</v>
      </c>
      <c r="D1021" s="17">
        <f t="shared" si="66"/>
        <v>15096</v>
      </c>
      <c r="E1021" s="2">
        <f t="shared" si="67"/>
        <v>2.8571320420469299E-2</v>
      </c>
      <c r="F1021" s="13" t="s">
        <v>1466</v>
      </c>
      <c r="G1021" s="48" t="s">
        <v>1462</v>
      </c>
      <c r="H1021" s="20" t="s">
        <v>334</v>
      </c>
      <c r="I1021" s="21" t="s">
        <v>1449</v>
      </c>
      <c r="J1021" s="141"/>
    </row>
    <row r="1022" spans="1:10">
      <c r="A1022" s="8" t="s">
        <v>148</v>
      </c>
      <c r="B1022" s="19">
        <v>676433</v>
      </c>
      <c r="C1022" s="19">
        <v>657106</v>
      </c>
      <c r="D1022" s="17">
        <f t="shared" si="66"/>
        <v>19327</v>
      </c>
      <c r="E1022" s="2">
        <f t="shared" si="67"/>
        <v>2.9412301820406449E-2</v>
      </c>
      <c r="F1022" s="13" t="s">
        <v>1516</v>
      </c>
      <c r="G1022" s="48" t="s">
        <v>1462</v>
      </c>
      <c r="H1022" s="20" t="s">
        <v>30</v>
      </c>
      <c r="I1022" s="21" t="s">
        <v>543</v>
      </c>
      <c r="J1022" s="141"/>
    </row>
    <row r="1023" spans="1:10">
      <c r="A1023" s="8" t="s">
        <v>1517</v>
      </c>
      <c r="B1023" s="19">
        <v>4060000</v>
      </c>
      <c r="C1023" s="19">
        <v>3654000</v>
      </c>
      <c r="D1023" s="17">
        <f t="shared" si="66"/>
        <v>406000</v>
      </c>
      <c r="E1023" s="2">
        <f t="shared" si="67"/>
        <v>0.1111111111111111</v>
      </c>
      <c r="F1023" s="13" t="s">
        <v>1518</v>
      </c>
      <c r="G1023" s="48" t="s">
        <v>1462</v>
      </c>
      <c r="H1023" s="20" t="s">
        <v>30</v>
      </c>
      <c r="I1023" s="21" t="s">
        <v>543</v>
      </c>
      <c r="J1023" s="141"/>
    </row>
    <row r="1024" spans="1:10">
      <c r="A1024" s="8" t="s">
        <v>989</v>
      </c>
      <c r="B1024" s="19">
        <v>1930500</v>
      </c>
      <c r="C1024" s="19">
        <v>1755000</v>
      </c>
      <c r="D1024" s="17">
        <f t="shared" si="66"/>
        <v>175500</v>
      </c>
      <c r="E1024" s="2">
        <f t="shared" si="67"/>
        <v>0.1</v>
      </c>
      <c r="F1024" s="13" t="s">
        <v>1519</v>
      </c>
      <c r="G1024" s="48" t="s">
        <v>1462</v>
      </c>
      <c r="H1024" s="20" t="s">
        <v>30</v>
      </c>
      <c r="I1024" s="21" t="s">
        <v>543</v>
      </c>
      <c r="J1024" s="141"/>
    </row>
    <row r="1025" spans="1:10">
      <c r="A1025" s="8" t="s">
        <v>148</v>
      </c>
      <c r="B1025" s="19">
        <v>2281856</v>
      </c>
      <c r="C1025" s="19">
        <v>2218568</v>
      </c>
      <c r="D1025" s="17">
        <f t="shared" si="66"/>
        <v>63288</v>
      </c>
      <c r="E1025" s="2">
        <f t="shared" si="67"/>
        <v>2.8526508991385435E-2</v>
      </c>
      <c r="F1025" s="13" t="s">
        <v>950</v>
      </c>
      <c r="G1025" s="48" t="s">
        <v>1462</v>
      </c>
      <c r="H1025" s="20" t="s">
        <v>63</v>
      </c>
      <c r="I1025" s="21" t="s">
        <v>317</v>
      </c>
      <c r="J1025" s="141"/>
    </row>
    <row r="1026" spans="1:10">
      <c r="A1026" s="8" t="s">
        <v>148</v>
      </c>
      <c r="B1026" s="19">
        <v>1315408</v>
      </c>
      <c r="C1026" s="19">
        <v>1274660</v>
      </c>
      <c r="D1026" s="17">
        <f t="shared" si="66"/>
        <v>40748</v>
      </c>
      <c r="E1026" s="2">
        <f t="shared" si="67"/>
        <v>3.1967740417052387E-2</v>
      </c>
      <c r="F1026" s="13" t="s">
        <v>1520</v>
      </c>
      <c r="G1026" s="48" t="s">
        <v>1462</v>
      </c>
      <c r="H1026" s="20" t="s">
        <v>63</v>
      </c>
      <c r="I1026" s="21" t="s">
        <v>317</v>
      </c>
      <c r="J1026" s="141"/>
    </row>
    <row r="1027" spans="1:10">
      <c r="A1027" s="8" t="s">
        <v>1413</v>
      </c>
      <c r="B1027" s="19">
        <v>1278800</v>
      </c>
      <c r="C1027" s="19">
        <v>1102200</v>
      </c>
      <c r="D1027" s="17">
        <f t="shared" si="66"/>
        <v>176600</v>
      </c>
      <c r="E1027" s="2">
        <f t="shared" si="67"/>
        <v>0.16022500453638178</v>
      </c>
      <c r="F1027" s="13" t="s">
        <v>1521</v>
      </c>
      <c r="G1027" s="48" t="s">
        <v>1462</v>
      </c>
      <c r="H1027" s="20" t="s">
        <v>38</v>
      </c>
      <c r="I1027" s="21" t="s">
        <v>1522</v>
      </c>
      <c r="J1027" s="141"/>
    </row>
    <row r="1028" spans="1:10">
      <c r="A1028" s="8" t="s">
        <v>1523</v>
      </c>
      <c r="B1028" s="19">
        <v>8400000</v>
      </c>
      <c r="C1028" s="19">
        <v>8070000</v>
      </c>
      <c r="D1028" s="17">
        <f t="shared" si="66"/>
        <v>330000</v>
      </c>
      <c r="E1028" s="2">
        <f t="shared" si="67"/>
        <v>4.0892193308550186E-2</v>
      </c>
      <c r="F1028" s="13" t="s">
        <v>1524</v>
      </c>
      <c r="G1028" s="48" t="s">
        <v>1462</v>
      </c>
      <c r="H1028" s="20" t="s">
        <v>30</v>
      </c>
      <c r="I1028" s="21" t="s">
        <v>1361</v>
      </c>
      <c r="J1028" s="141"/>
    </row>
    <row r="1029" spans="1:10">
      <c r="A1029" s="8" t="s">
        <v>1525</v>
      </c>
      <c r="B1029" s="19">
        <v>4074000</v>
      </c>
      <c r="C1029" s="19">
        <v>3677500</v>
      </c>
      <c r="D1029" s="17">
        <f t="shared" si="66"/>
        <v>396500</v>
      </c>
      <c r="E1029" s="2">
        <f t="shared" si="67"/>
        <v>0.10781781101291639</v>
      </c>
      <c r="F1029" s="13" t="s">
        <v>1526</v>
      </c>
      <c r="G1029" s="48" t="s">
        <v>1462</v>
      </c>
      <c r="H1029" s="20" t="s">
        <v>30</v>
      </c>
      <c r="I1029" s="21" t="s">
        <v>1527</v>
      </c>
      <c r="J1029" s="141"/>
    </row>
    <row r="1030" spans="1:10">
      <c r="A1030" s="8" t="s">
        <v>1525</v>
      </c>
      <c r="B1030" s="19">
        <v>2447000</v>
      </c>
      <c r="C1030" s="19">
        <v>2141000</v>
      </c>
      <c r="D1030" s="17">
        <f t="shared" si="66"/>
        <v>306000</v>
      </c>
      <c r="E1030" s="2">
        <f t="shared" si="67"/>
        <v>0.14292386735170481</v>
      </c>
      <c r="F1030" s="13" t="s">
        <v>1528</v>
      </c>
      <c r="G1030" s="48" t="s">
        <v>1462</v>
      </c>
      <c r="H1030" s="20" t="s">
        <v>30</v>
      </c>
      <c r="I1030" s="21" t="s">
        <v>1527</v>
      </c>
      <c r="J1030" s="141"/>
    </row>
    <row r="1031" spans="1:10">
      <c r="A1031" s="8" t="s">
        <v>34</v>
      </c>
      <c r="B1031" s="19">
        <v>15970560</v>
      </c>
      <c r="C1031" s="19">
        <v>15213290</v>
      </c>
      <c r="D1031" s="17">
        <f t="shared" si="66"/>
        <v>757270</v>
      </c>
      <c r="E1031" s="2">
        <f t="shared" si="67"/>
        <v>4.9776872721153678E-2</v>
      </c>
      <c r="F1031" s="13" t="s">
        <v>1529</v>
      </c>
      <c r="G1031" s="48" t="s">
        <v>1462</v>
      </c>
      <c r="H1031" s="20" t="s">
        <v>124</v>
      </c>
      <c r="I1031" s="21"/>
      <c r="J1031" s="141"/>
    </row>
    <row r="1032" spans="1:10">
      <c r="A1032" s="8" t="s">
        <v>148</v>
      </c>
      <c r="B1032" s="19">
        <v>3039096</v>
      </c>
      <c r="C1032" s="19">
        <v>2952264</v>
      </c>
      <c r="D1032" s="17">
        <f t="shared" si="66"/>
        <v>86832</v>
      </c>
      <c r="E1032" s="2">
        <f t="shared" si="67"/>
        <v>2.9412003804537807E-2</v>
      </c>
      <c r="F1032" s="13" t="s">
        <v>1530</v>
      </c>
      <c r="G1032" s="48" t="s">
        <v>1462</v>
      </c>
      <c r="H1032" s="20" t="s">
        <v>30</v>
      </c>
      <c r="I1032" s="21" t="s">
        <v>310</v>
      </c>
      <c r="J1032" s="141"/>
    </row>
    <row r="1033" spans="1:10">
      <c r="A1033" s="8" t="s">
        <v>213</v>
      </c>
      <c r="B1033" s="19">
        <v>7800000</v>
      </c>
      <c r="C1033" s="19">
        <v>7340000</v>
      </c>
      <c r="D1033" s="17">
        <f t="shared" si="66"/>
        <v>460000</v>
      </c>
      <c r="E1033" s="2">
        <f t="shared" si="67"/>
        <v>6.2670299727520432E-2</v>
      </c>
      <c r="F1033" s="13" t="s">
        <v>1531</v>
      </c>
      <c r="G1033" s="48" t="s">
        <v>1462</v>
      </c>
      <c r="H1033" s="20" t="s">
        <v>63</v>
      </c>
      <c r="I1033" s="21" t="s">
        <v>317</v>
      </c>
      <c r="J1033" s="141"/>
    </row>
    <row r="1034" spans="1:10">
      <c r="A1034" s="8" t="s">
        <v>148</v>
      </c>
      <c r="B1034" s="19">
        <v>581324</v>
      </c>
      <c r="C1034" s="19">
        <v>565177</v>
      </c>
      <c r="D1034" s="17">
        <f t="shared" si="66"/>
        <v>16147</v>
      </c>
      <c r="E1034" s="2">
        <f t="shared" si="67"/>
        <v>2.8569810873407799E-2</v>
      </c>
      <c r="F1034" s="13" t="s">
        <v>1532</v>
      </c>
      <c r="G1034" s="48" t="s">
        <v>1462</v>
      </c>
      <c r="H1034" s="20" t="s">
        <v>38</v>
      </c>
      <c r="I1034" s="21" t="s">
        <v>1533</v>
      </c>
      <c r="J1034" s="141"/>
    </row>
    <row r="1035" spans="1:10">
      <c r="A1035" s="8" t="s">
        <v>148</v>
      </c>
      <c r="B1035" s="19">
        <v>809263</v>
      </c>
      <c r="C1035" s="19">
        <v>786784</v>
      </c>
      <c r="D1035" s="17">
        <f t="shared" si="66"/>
        <v>22479</v>
      </c>
      <c r="E1035" s="2">
        <f t="shared" si="67"/>
        <v>2.8570738601700084E-2</v>
      </c>
      <c r="F1035" s="13" t="s">
        <v>1534</v>
      </c>
      <c r="G1035" s="48" t="s">
        <v>1462</v>
      </c>
      <c r="H1035" s="20" t="s">
        <v>63</v>
      </c>
      <c r="I1035" s="21" t="s">
        <v>317</v>
      </c>
      <c r="J1035" s="141"/>
    </row>
    <row r="1036" spans="1:10">
      <c r="A1036" s="8" t="s">
        <v>148</v>
      </c>
      <c r="B1036" s="19">
        <v>1002297</v>
      </c>
      <c r="C1036" s="19">
        <v>974454</v>
      </c>
      <c r="D1036" s="17">
        <f t="shared" si="66"/>
        <v>27843</v>
      </c>
      <c r="E1036" s="2">
        <f t="shared" si="67"/>
        <v>2.8572923914315092E-2</v>
      </c>
      <c r="F1036" s="13" t="s">
        <v>1535</v>
      </c>
      <c r="G1036" s="48" t="s">
        <v>1462</v>
      </c>
      <c r="H1036" s="20" t="s">
        <v>63</v>
      </c>
      <c r="I1036" s="21" t="s">
        <v>317</v>
      </c>
      <c r="J1036" s="141"/>
    </row>
    <row r="1037" spans="1:10">
      <c r="A1037" s="8" t="s">
        <v>148</v>
      </c>
      <c r="B1037" s="19">
        <v>1234577</v>
      </c>
      <c r="C1037" s="19">
        <v>1202217</v>
      </c>
      <c r="D1037" s="17">
        <f t="shared" si="66"/>
        <v>32360</v>
      </c>
      <c r="E1037" s="2">
        <f t="shared" si="67"/>
        <v>2.6916937624405578E-2</v>
      </c>
      <c r="F1037" s="13" t="s">
        <v>1536</v>
      </c>
      <c r="G1037" s="48" t="s">
        <v>1462</v>
      </c>
      <c r="H1037" s="20" t="s">
        <v>63</v>
      </c>
      <c r="I1037" s="21" t="s">
        <v>317</v>
      </c>
      <c r="J1037" s="141"/>
    </row>
    <row r="1038" spans="1:10" ht="30.75">
      <c r="A1038" s="8" t="s">
        <v>148</v>
      </c>
      <c r="B1038" s="19">
        <v>2280807</v>
      </c>
      <c r="C1038" s="19">
        <v>2217453</v>
      </c>
      <c r="D1038" s="17">
        <f t="shared" si="66"/>
        <v>63354</v>
      </c>
      <c r="E1038" s="2">
        <f t="shared" si="67"/>
        <v>2.8570616829308219E-2</v>
      </c>
      <c r="F1038" s="115" t="s">
        <v>1537</v>
      </c>
      <c r="G1038" s="48" t="s">
        <v>1462</v>
      </c>
      <c r="H1038" s="20" t="s">
        <v>63</v>
      </c>
      <c r="I1038" s="21" t="s">
        <v>317</v>
      </c>
      <c r="J1038" s="141"/>
    </row>
    <row r="1039" spans="1:10">
      <c r="A1039" s="8" t="s">
        <v>148</v>
      </c>
      <c r="B1039" s="19">
        <v>1219418</v>
      </c>
      <c r="C1039" s="19">
        <v>1161308</v>
      </c>
      <c r="D1039" s="17">
        <f t="shared" si="66"/>
        <v>58110</v>
      </c>
      <c r="E1039" s="2">
        <f t="shared" si="67"/>
        <v>5.0038404970946554E-2</v>
      </c>
      <c r="F1039" s="13" t="s">
        <v>1538</v>
      </c>
      <c r="G1039" s="48" t="s">
        <v>1462</v>
      </c>
      <c r="H1039" s="20" t="s">
        <v>63</v>
      </c>
      <c r="I1039" s="21" t="s">
        <v>317</v>
      </c>
      <c r="J1039" s="141"/>
    </row>
    <row r="1040" spans="1:10">
      <c r="A1040" s="8" t="s">
        <v>148</v>
      </c>
      <c r="B1040" s="19">
        <v>901311</v>
      </c>
      <c r="C1040" s="19">
        <v>875560</v>
      </c>
      <c r="D1040" s="17">
        <f t="shared" si="66"/>
        <v>25751</v>
      </c>
      <c r="E1040" s="2">
        <f t="shared" si="67"/>
        <v>2.9410891315272511E-2</v>
      </c>
      <c r="F1040" s="13" t="s">
        <v>1315</v>
      </c>
      <c r="G1040" s="48" t="s">
        <v>1462</v>
      </c>
      <c r="H1040" s="20" t="s">
        <v>63</v>
      </c>
      <c r="I1040" s="21" t="s">
        <v>317</v>
      </c>
      <c r="J1040" s="141"/>
    </row>
    <row r="1041" spans="1:10">
      <c r="A1041" s="8" t="s">
        <v>148</v>
      </c>
      <c r="B1041" s="19">
        <v>350000</v>
      </c>
      <c r="C1041" s="19">
        <v>332500</v>
      </c>
      <c r="D1041" s="17">
        <f t="shared" si="66"/>
        <v>17500</v>
      </c>
      <c r="E1041" s="2">
        <f t="shared" si="67"/>
        <v>5.2631578947368418E-2</v>
      </c>
      <c r="F1041" s="13" t="s">
        <v>1539</v>
      </c>
      <c r="G1041" s="48" t="s">
        <v>1462</v>
      </c>
      <c r="H1041" s="20" t="s">
        <v>63</v>
      </c>
      <c r="I1041" s="21" t="s">
        <v>317</v>
      </c>
      <c r="J1041" s="141"/>
    </row>
    <row r="1042" spans="1:10">
      <c r="A1042" s="8" t="s">
        <v>989</v>
      </c>
      <c r="B1042" s="19">
        <v>1718750</v>
      </c>
      <c r="C1042" s="19">
        <v>1546875</v>
      </c>
      <c r="D1042" s="17">
        <f t="shared" si="66"/>
        <v>171875</v>
      </c>
      <c r="E1042" s="2">
        <f t="shared" si="67"/>
        <v>0.1111111111111111</v>
      </c>
      <c r="F1042" s="13" t="s">
        <v>1540</v>
      </c>
      <c r="G1042" s="48" t="s">
        <v>1462</v>
      </c>
      <c r="H1042" s="20" t="s">
        <v>30</v>
      </c>
      <c r="I1042" s="21" t="s">
        <v>543</v>
      </c>
      <c r="J1042" s="141"/>
    </row>
    <row r="1043" spans="1:10">
      <c r="A1043" s="8" t="s">
        <v>148</v>
      </c>
      <c r="B1043" s="19">
        <v>510332</v>
      </c>
      <c r="C1043" s="19">
        <v>496156</v>
      </c>
      <c r="D1043" s="17">
        <f t="shared" si="66"/>
        <v>14176</v>
      </c>
      <c r="E1043" s="2">
        <f t="shared" si="67"/>
        <v>2.8571658913728745E-2</v>
      </c>
      <c r="F1043" s="13" t="s">
        <v>1541</v>
      </c>
      <c r="G1043" s="48" t="s">
        <v>1462</v>
      </c>
      <c r="H1043" s="20" t="s">
        <v>63</v>
      </c>
      <c r="I1043" s="21" t="s">
        <v>317</v>
      </c>
      <c r="J1043" s="141"/>
    </row>
    <row r="1044" spans="1:10">
      <c r="A1044" s="8" t="s">
        <v>872</v>
      </c>
      <c r="B1044" s="19">
        <v>1279865.3999999999</v>
      </c>
      <c r="C1044" s="19">
        <v>1218920</v>
      </c>
      <c r="D1044" s="17">
        <f t="shared" si="66"/>
        <v>60945.399999999907</v>
      </c>
      <c r="E1044" s="2">
        <f t="shared" si="67"/>
        <v>4.9999507760968648E-2</v>
      </c>
      <c r="F1044" s="13" t="s">
        <v>1542</v>
      </c>
      <c r="G1044" s="48" t="s">
        <v>1462</v>
      </c>
      <c r="H1044" s="20" t="s">
        <v>63</v>
      </c>
      <c r="I1044" s="21" t="s">
        <v>317</v>
      </c>
      <c r="J1044" s="141"/>
    </row>
    <row r="1045" spans="1:10">
      <c r="A1045" s="8" t="s">
        <v>872</v>
      </c>
      <c r="B1045" s="19">
        <v>325211.7</v>
      </c>
      <c r="C1045" s="19">
        <v>309725</v>
      </c>
      <c r="D1045" s="17">
        <f t="shared" si="66"/>
        <v>15486.700000000012</v>
      </c>
      <c r="E1045" s="2">
        <f t="shared" si="67"/>
        <v>5.0001452901767732E-2</v>
      </c>
      <c r="F1045" s="13" t="s">
        <v>1543</v>
      </c>
      <c r="G1045" s="48" t="s">
        <v>1462</v>
      </c>
      <c r="H1045" s="20" t="s">
        <v>63</v>
      </c>
      <c r="I1045" s="21" t="s">
        <v>317</v>
      </c>
      <c r="J1045" s="141"/>
    </row>
    <row r="1046" spans="1:10">
      <c r="A1046" s="8" t="s">
        <v>148</v>
      </c>
      <c r="B1046" s="19">
        <v>270000</v>
      </c>
      <c r="C1046" s="19">
        <v>255000</v>
      </c>
      <c r="D1046" s="17">
        <f t="shared" si="66"/>
        <v>15000</v>
      </c>
      <c r="E1046" s="2">
        <f t="shared" si="67"/>
        <v>5.8823529411764705E-2</v>
      </c>
      <c r="F1046" s="13" t="s">
        <v>1544</v>
      </c>
      <c r="G1046" s="48" t="s">
        <v>1462</v>
      </c>
      <c r="H1046" s="20" t="s">
        <v>30</v>
      </c>
      <c r="I1046" s="21" t="s">
        <v>1545</v>
      </c>
      <c r="J1046" s="141"/>
    </row>
    <row r="1047" spans="1:10">
      <c r="A1047" s="8" t="s">
        <v>989</v>
      </c>
      <c r="B1047" s="19">
        <v>6990000</v>
      </c>
      <c r="C1047" s="19">
        <v>5814000</v>
      </c>
      <c r="D1047" s="17">
        <f t="shared" si="66"/>
        <v>1176000</v>
      </c>
      <c r="E1047" s="2">
        <f t="shared" si="67"/>
        <v>0.20227038183694532</v>
      </c>
      <c r="F1047" s="13" t="s">
        <v>1546</v>
      </c>
      <c r="G1047" s="48" t="s">
        <v>1462</v>
      </c>
      <c r="H1047" s="20" t="s">
        <v>30</v>
      </c>
      <c r="I1047" s="21" t="s">
        <v>454</v>
      </c>
      <c r="J1047" s="141"/>
    </row>
    <row r="1048" spans="1:10">
      <c r="A1048" s="8" t="s">
        <v>989</v>
      </c>
      <c r="B1048" s="19">
        <v>6045000</v>
      </c>
      <c r="C1048" s="19">
        <v>5265000</v>
      </c>
      <c r="D1048" s="17">
        <f t="shared" si="66"/>
        <v>780000</v>
      </c>
      <c r="E1048" s="2">
        <f t="shared" si="67"/>
        <v>0.14814814814814814</v>
      </c>
      <c r="F1048" s="13" t="s">
        <v>1547</v>
      </c>
      <c r="G1048" s="48" t="s">
        <v>1462</v>
      </c>
      <c r="H1048" s="20" t="s">
        <v>30</v>
      </c>
      <c r="I1048" s="21" t="s">
        <v>454</v>
      </c>
      <c r="J1048" s="141"/>
    </row>
    <row r="1049" spans="1:10">
      <c r="A1049" s="8" t="s">
        <v>148</v>
      </c>
      <c r="B1049" s="19">
        <v>3572649</v>
      </c>
      <c r="C1049" s="19">
        <v>3468306</v>
      </c>
      <c r="D1049" s="17">
        <f t="shared" si="66"/>
        <v>104343</v>
      </c>
      <c r="E1049" s="2">
        <f t="shared" si="67"/>
        <v>3.0084715708475551E-2</v>
      </c>
      <c r="F1049" s="13" t="s">
        <v>1548</v>
      </c>
      <c r="G1049" s="48" t="s">
        <v>1462</v>
      </c>
      <c r="H1049" s="20" t="s">
        <v>63</v>
      </c>
      <c r="I1049" s="21" t="s">
        <v>317</v>
      </c>
      <c r="J1049" s="141"/>
    </row>
    <row r="1050" spans="1:10">
      <c r="A1050" s="8" t="s">
        <v>148</v>
      </c>
      <c r="B1050" s="19">
        <v>2722232</v>
      </c>
      <c r="C1050" s="19">
        <v>2646622</v>
      </c>
      <c r="D1050" s="17">
        <f t="shared" si="66"/>
        <v>75610</v>
      </c>
      <c r="E1050" s="2">
        <f t="shared" si="67"/>
        <v>2.8568492213848447E-2</v>
      </c>
      <c r="F1050" s="13" t="s">
        <v>1548</v>
      </c>
      <c r="G1050" s="48" t="s">
        <v>1462</v>
      </c>
      <c r="H1050" s="20" t="s">
        <v>63</v>
      </c>
      <c r="I1050" s="21" t="s">
        <v>317</v>
      </c>
      <c r="J1050" s="141"/>
    </row>
    <row r="1051" spans="1:10">
      <c r="A1051" s="8" t="s">
        <v>148</v>
      </c>
      <c r="B1051" s="19">
        <v>462627</v>
      </c>
      <c r="C1051" s="19">
        <v>449742</v>
      </c>
      <c r="D1051" s="17">
        <f t="shared" si="66"/>
        <v>12885</v>
      </c>
      <c r="E1051" s="2">
        <f t="shared" si="67"/>
        <v>2.8649759195271955E-2</v>
      </c>
      <c r="F1051" s="13" t="s">
        <v>1549</v>
      </c>
      <c r="G1051" s="48" t="s">
        <v>1462</v>
      </c>
      <c r="H1051" s="20" t="s">
        <v>63</v>
      </c>
      <c r="I1051" s="21" t="s">
        <v>317</v>
      </c>
      <c r="J1051" s="141"/>
    </row>
    <row r="1052" spans="1:10">
      <c r="A1052" s="8" t="s">
        <v>260</v>
      </c>
      <c r="B1052" s="19">
        <v>2848000</v>
      </c>
      <c r="C1052" s="19">
        <v>2568000</v>
      </c>
      <c r="D1052" s="17">
        <f t="shared" si="66"/>
        <v>280000</v>
      </c>
      <c r="E1052" s="2">
        <f t="shared" si="67"/>
        <v>0.10903426791277258</v>
      </c>
      <c r="F1052" s="13" t="s">
        <v>1550</v>
      </c>
      <c r="G1052" s="48" t="s">
        <v>1462</v>
      </c>
      <c r="H1052" s="20" t="s">
        <v>30</v>
      </c>
      <c r="I1052" s="21" t="s">
        <v>454</v>
      </c>
      <c r="J1052" s="141"/>
    </row>
    <row r="1053" spans="1:10">
      <c r="A1053" s="8" t="s">
        <v>573</v>
      </c>
      <c r="B1053" s="19">
        <v>6460000</v>
      </c>
      <c r="C1053" s="19">
        <v>6100000</v>
      </c>
      <c r="D1053" s="17">
        <f t="shared" si="66"/>
        <v>360000</v>
      </c>
      <c r="E1053" s="2">
        <f t="shared" si="67"/>
        <v>5.9016393442622953E-2</v>
      </c>
      <c r="F1053" s="13" t="s">
        <v>1551</v>
      </c>
      <c r="G1053" s="48" t="s">
        <v>1462</v>
      </c>
      <c r="H1053" s="20" t="s">
        <v>63</v>
      </c>
      <c r="I1053" s="21" t="s">
        <v>317</v>
      </c>
      <c r="J1053" s="141"/>
    </row>
    <row r="1054" spans="1:10">
      <c r="A1054" s="8" t="s">
        <v>573</v>
      </c>
      <c r="B1054" s="19">
        <v>12300000</v>
      </c>
      <c r="C1054" s="19">
        <v>11600000</v>
      </c>
      <c r="D1054" s="17">
        <f t="shared" si="66"/>
        <v>700000</v>
      </c>
      <c r="E1054" s="2">
        <f t="shared" si="67"/>
        <v>6.0344827586206899E-2</v>
      </c>
      <c r="F1054" s="13" t="s">
        <v>1552</v>
      </c>
      <c r="G1054" s="48" t="s">
        <v>1462</v>
      </c>
      <c r="H1054" s="20" t="s">
        <v>63</v>
      </c>
      <c r="I1054" s="21" t="s">
        <v>317</v>
      </c>
      <c r="J1054" s="141"/>
    </row>
    <row r="1055" spans="1:10">
      <c r="A1055" s="8" t="s">
        <v>573</v>
      </c>
      <c r="B1055" s="19">
        <v>9580000</v>
      </c>
      <c r="C1055" s="19">
        <v>9050000</v>
      </c>
      <c r="D1055" s="17">
        <f t="shared" si="66"/>
        <v>530000</v>
      </c>
      <c r="E1055" s="2">
        <f t="shared" si="67"/>
        <v>5.856353591160221E-2</v>
      </c>
      <c r="F1055" s="13" t="s">
        <v>1553</v>
      </c>
      <c r="G1055" s="48" t="s">
        <v>1462</v>
      </c>
      <c r="H1055" s="20" t="s">
        <v>63</v>
      </c>
      <c r="I1055" s="21" t="s">
        <v>317</v>
      </c>
      <c r="J1055" s="141"/>
    </row>
    <row r="1056" spans="1:10">
      <c r="A1056" s="8" t="s">
        <v>1053</v>
      </c>
      <c r="B1056" s="19">
        <v>3241700</v>
      </c>
      <c r="C1056" s="19">
        <v>3103800</v>
      </c>
      <c r="D1056" s="17">
        <f t="shared" si="66"/>
        <v>137900</v>
      </c>
      <c r="E1056" s="2">
        <f t="shared" si="67"/>
        <v>4.442940911141182E-2</v>
      </c>
      <c r="F1056" s="13" t="s">
        <v>1054</v>
      </c>
      <c r="G1056" s="48" t="s">
        <v>1462</v>
      </c>
      <c r="H1056" s="20" t="s">
        <v>391</v>
      </c>
      <c r="I1056" s="21"/>
    </row>
    <row r="1057" spans="1:9">
      <c r="A1057" s="8" t="s">
        <v>1554</v>
      </c>
      <c r="B1057" s="19">
        <v>8700000</v>
      </c>
      <c r="C1057" s="19">
        <v>7800000</v>
      </c>
      <c r="D1057" s="17">
        <f t="shared" si="66"/>
        <v>900000</v>
      </c>
      <c r="E1057" s="2">
        <f t="shared" si="67"/>
        <v>0.11538461538461539</v>
      </c>
      <c r="F1057" s="13" t="s">
        <v>1555</v>
      </c>
      <c r="G1057" s="48" t="s">
        <v>1462</v>
      </c>
      <c r="H1057" s="20" t="s">
        <v>946</v>
      </c>
      <c r="I1057" s="21" t="s">
        <v>559</v>
      </c>
    </row>
    <row r="1058" spans="1:9">
      <c r="A1058" s="9" t="s">
        <v>1554</v>
      </c>
      <c r="B1058" s="22">
        <v>8331120</v>
      </c>
      <c r="C1058" s="22">
        <v>7800000</v>
      </c>
      <c r="D1058" s="35">
        <f t="shared" si="66"/>
        <v>531120</v>
      </c>
      <c r="E1058" s="3">
        <f t="shared" si="67"/>
        <v>6.8092307692307688E-2</v>
      </c>
      <c r="F1058" s="14" t="s">
        <v>1556</v>
      </c>
      <c r="G1058" s="48" t="s">
        <v>1462</v>
      </c>
      <c r="H1058" s="23" t="s">
        <v>30</v>
      </c>
      <c r="I1058" s="49" t="s">
        <v>1557</v>
      </c>
    </row>
    <row r="1059" spans="1:9">
      <c r="A1059" s="156" t="s">
        <v>863</v>
      </c>
      <c r="B1059" s="156"/>
      <c r="C1059" s="156"/>
      <c r="D1059" s="156"/>
      <c r="E1059" s="156"/>
      <c r="F1059" s="156"/>
      <c r="G1059" s="156"/>
      <c r="H1059" s="156"/>
      <c r="I1059" s="156"/>
    </row>
    <row r="1060" spans="1:9">
      <c r="A1060" s="7" t="s">
        <v>85</v>
      </c>
      <c r="B1060" s="17">
        <v>26005200</v>
      </c>
      <c r="C1060" s="17">
        <v>24005200</v>
      </c>
      <c r="D1060" s="17">
        <f>B1060-C1060</f>
        <v>2000000</v>
      </c>
      <c r="E1060" s="1">
        <f>(B1060-C1060)/C1060</f>
        <v>8.3315281688967388E-2</v>
      </c>
      <c r="F1060" s="12" t="s">
        <v>1558</v>
      </c>
      <c r="G1060" s="119" t="s">
        <v>1559</v>
      </c>
      <c r="H1060" s="18" t="s">
        <v>294</v>
      </c>
      <c r="I1060" s="50" t="s">
        <v>294</v>
      </c>
    </row>
    <row r="1061" spans="1:9">
      <c r="A1061" s="8" t="s">
        <v>148</v>
      </c>
      <c r="B1061" s="19">
        <v>505780</v>
      </c>
      <c r="C1061" s="19">
        <v>492470</v>
      </c>
      <c r="D1061" s="17">
        <f t="shared" si="66"/>
        <v>13310</v>
      </c>
      <c r="E1061" s="2">
        <f t="shared" si="67"/>
        <v>2.7027027027027029E-2</v>
      </c>
      <c r="F1061" s="13" t="s">
        <v>1560</v>
      </c>
      <c r="G1061" s="119" t="s">
        <v>1559</v>
      </c>
      <c r="H1061" s="20" t="s">
        <v>30</v>
      </c>
      <c r="I1061" s="21" t="s">
        <v>543</v>
      </c>
    </row>
    <row r="1062" spans="1:9">
      <c r="A1062" s="8" t="s">
        <v>989</v>
      </c>
      <c r="B1062" s="19">
        <v>2972750</v>
      </c>
      <c r="C1062" s="19">
        <v>2824112.5</v>
      </c>
      <c r="D1062" s="17">
        <f t="shared" si="66"/>
        <v>148637.5</v>
      </c>
      <c r="E1062" s="2">
        <f t="shared" si="67"/>
        <v>5.2631578947368418E-2</v>
      </c>
      <c r="F1062" s="13" t="s">
        <v>1561</v>
      </c>
      <c r="G1062" s="119" t="s">
        <v>1559</v>
      </c>
      <c r="H1062" s="20" t="s">
        <v>110</v>
      </c>
      <c r="I1062" s="21" t="s">
        <v>1449</v>
      </c>
    </row>
    <row r="1063" spans="1:9">
      <c r="A1063" s="8" t="s">
        <v>1413</v>
      </c>
      <c r="B1063" s="19">
        <v>402000</v>
      </c>
      <c r="C1063" s="19">
        <v>364500</v>
      </c>
      <c r="D1063" s="17">
        <f t="shared" si="66"/>
        <v>37500</v>
      </c>
      <c r="E1063" s="2">
        <f t="shared" si="67"/>
        <v>0.102880658436214</v>
      </c>
      <c r="F1063" s="13" t="s">
        <v>1562</v>
      </c>
      <c r="G1063" s="119" t="s">
        <v>1559</v>
      </c>
      <c r="H1063" s="20" t="s">
        <v>1563</v>
      </c>
      <c r="I1063" s="21" t="s">
        <v>1564</v>
      </c>
    </row>
    <row r="1064" spans="1:9">
      <c r="A1064" s="8" t="s">
        <v>1413</v>
      </c>
      <c r="B1064" s="19">
        <v>942200</v>
      </c>
      <c r="C1064" s="19">
        <v>855800</v>
      </c>
      <c r="D1064" s="17">
        <f t="shared" si="66"/>
        <v>86400</v>
      </c>
      <c r="E1064" s="2">
        <f t="shared" si="67"/>
        <v>0.10095816779621407</v>
      </c>
      <c r="F1064" s="13" t="s">
        <v>1565</v>
      </c>
      <c r="G1064" s="119" t="s">
        <v>1559</v>
      </c>
      <c r="H1064" s="20" t="s">
        <v>946</v>
      </c>
      <c r="I1064" s="21" t="s">
        <v>1566</v>
      </c>
    </row>
    <row r="1065" spans="1:9">
      <c r="A1065" s="8" t="s">
        <v>148</v>
      </c>
      <c r="B1065" s="19">
        <v>1181939</v>
      </c>
      <c r="C1065" s="19">
        <v>1147769</v>
      </c>
      <c r="D1065" s="17">
        <f t="shared" si="66"/>
        <v>34170</v>
      </c>
      <c r="E1065" s="2">
        <f t="shared" si="67"/>
        <v>2.9770798827987166E-2</v>
      </c>
      <c r="F1065" s="13" t="s">
        <v>768</v>
      </c>
      <c r="G1065" s="119" t="s">
        <v>1559</v>
      </c>
      <c r="H1065" s="20" t="s">
        <v>946</v>
      </c>
      <c r="I1065" s="21" t="s">
        <v>317</v>
      </c>
    </row>
    <row r="1066" spans="1:9">
      <c r="A1066" s="8" t="s">
        <v>148</v>
      </c>
      <c r="B1066" s="19">
        <v>2512579</v>
      </c>
      <c r="C1066" s="19">
        <v>2439725</v>
      </c>
      <c r="D1066" s="17">
        <f t="shared" si="66"/>
        <v>72854</v>
      </c>
      <c r="E1066" s="2">
        <f t="shared" si="67"/>
        <v>2.9861562266239022E-2</v>
      </c>
      <c r="F1066" s="13" t="s">
        <v>1567</v>
      </c>
      <c r="G1066" s="119" t="s">
        <v>1559</v>
      </c>
      <c r="H1066" s="20" t="s">
        <v>946</v>
      </c>
      <c r="I1066" s="21" t="s">
        <v>317</v>
      </c>
    </row>
    <row r="1067" spans="1:9">
      <c r="A1067" s="8" t="s">
        <v>148</v>
      </c>
      <c r="B1067" s="19">
        <v>1028180</v>
      </c>
      <c r="C1067" s="19">
        <v>996827</v>
      </c>
      <c r="D1067" s="17">
        <f t="shared" si="66"/>
        <v>31353</v>
      </c>
      <c r="E1067" s="2">
        <f t="shared" si="67"/>
        <v>3.1452799733554568E-2</v>
      </c>
      <c r="F1067" s="13" t="s">
        <v>1568</v>
      </c>
      <c r="G1067" s="119" t="s">
        <v>1559</v>
      </c>
      <c r="H1067" s="20" t="s">
        <v>946</v>
      </c>
      <c r="I1067" s="21" t="s">
        <v>317</v>
      </c>
    </row>
    <row r="1068" spans="1:9">
      <c r="A1068" s="8" t="s">
        <v>148</v>
      </c>
      <c r="B1068" s="19">
        <v>884122</v>
      </c>
      <c r="C1068" s="19">
        <v>859577</v>
      </c>
      <c r="D1068" s="17">
        <f t="shared" si="66"/>
        <v>24545</v>
      </c>
      <c r="E1068" s="2">
        <f t="shared" si="67"/>
        <v>2.8554742623406629E-2</v>
      </c>
      <c r="F1068" s="13" t="s">
        <v>1569</v>
      </c>
      <c r="G1068" s="119" t="s">
        <v>1559</v>
      </c>
      <c r="H1068" s="20" t="s">
        <v>946</v>
      </c>
      <c r="I1068" s="21" t="s">
        <v>317</v>
      </c>
    </row>
    <row r="1069" spans="1:9">
      <c r="A1069" s="8" t="s">
        <v>148</v>
      </c>
      <c r="B1069" s="19">
        <v>2521268</v>
      </c>
      <c r="C1069" s="19">
        <v>2419202</v>
      </c>
      <c r="D1069" s="17">
        <f t="shared" si="66"/>
        <v>102066</v>
      </c>
      <c r="E1069" s="2">
        <f t="shared" si="67"/>
        <v>4.2189945279476455E-2</v>
      </c>
      <c r="F1069" s="13" t="s">
        <v>1570</v>
      </c>
      <c r="G1069" s="119" t="s">
        <v>1559</v>
      </c>
      <c r="H1069" s="20" t="s">
        <v>946</v>
      </c>
      <c r="I1069" s="21" t="s">
        <v>317</v>
      </c>
    </row>
    <row r="1070" spans="1:9">
      <c r="A1070" s="8" t="s">
        <v>148</v>
      </c>
      <c r="B1070" s="19">
        <v>2955060</v>
      </c>
      <c r="C1070" s="19">
        <v>2872970</v>
      </c>
      <c r="D1070" s="17">
        <f t="shared" si="66"/>
        <v>82090</v>
      </c>
      <c r="E1070" s="2">
        <f t="shared" si="67"/>
        <v>2.8573218655259192E-2</v>
      </c>
      <c r="F1070" s="13" t="s">
        <v>1548</v>
      </c>
      <c r="G1070" s="119" t="s">
        <v>1559</v>
      </c>
      <c r="H1070" s="20" t="s">
        <v>946</v>
      </c>
      <c r="I1070" s="21" t="s">
        <v>317</v>
      </c>
    </row>
    <row r="1071" spans="1:9">
      <c r="A1071" s="8" t="s">
        <v>148</v>
      </c>
      <c r="B1071" s="19">
        <v>4197359</v>
      </c>
      <c r="C1071" s="19">
        <v>4078357</v>
      </c>
      <c r="D1071" s="17">
        <f t="shared" si="66"/>
        <v>119002</v>
      </c>
      <c r="E1071" s="2">
        <f t="shared" si="67"/>
        <v>2.9178907094204849E-2</v>
      </c>
      <c r="F1071" s="13" t="s">
        <v>1571</v>
      </c>
      <c r="G1071" s="119" t="s">
        <v>1559</v>
      </c>
      <c r="H1071" s="20" t="s">
        <v>946</v>
      </c>
      <c r="I1071" s="21" t="s">
        <v>317</v>
      </c>
    </row>
    <row r="1072" spans="1:9">
      <c r="A1072" s="8" t="s">
        <v>148</v>
      </c>
      <c r="B1072" s="19">
        <v>918520</v>
      </c>
      <c r="C1072" s="19">
        <v>879187</v>
      </c>
      <c r="D1072" s="17">
        <f t="shared" si="66"/>
        <v>39333</v>
      </c>
      <c r="E1072" s="2">
        <f t="shared" si="67"/>
        <v>4.4737922648992762E-2</v>
      </c>
      <c r="F1072" s="13" t="s">
        <v>1572</v>
      </c>
      <c r="G1072" s="119" t="s">
        <v>1559</v>
      </c>
      <c r="H1072" s="20" t="s">
        <v>946</v>
      </c>
      <c r="I1072" s="21" t="s">
        <v>317</v>
      </c>
    </row>
    <row r="1073" spans="1:9">
      <c r="A1073" s="8" t="s">
        <v>148</v>
      </c>
      <c r="B1073" s="19">
        <v>1635771</v>
      </c>
      <c r="C1073" s="19">
        <v>1561466</v>
      </c>
      <c r="D1073" s="17">
        <f t="shared" si="66"/>
        <v>74305</v>
      </c>
      <c r="E1073" s="2">
        <f t="shared" si="67"/>
        <v>4.758669096861539E-2</v>
      </c>
      <c r="F1073" s="13" t="s">
        <v>1570</v>
      </c>
      <c r="G1073" s="119" t="s">
        <v>1559</v>
      </c>
      <c r="H1073" s="20" t="s">
        <v>946</v>
      </c>
      <c r="I1073" s="21" t="s">
        <v>317</v>
      </c>
    </row>
    <row r="1074" spans="1:9">
      <c r="A1074" s="8" t="s">
        <v>1436</v>
      </c>
      <c r="B1074" s="19">
        <v>6236900</v>
      </c>
      <c r="C1074" s="19">
        <v>5956900</v>
      </c>
      <c r="D1074" s="17">
        <f t="shared" si="66"/>
        <v>280000</v>
      </c>
      <c r="E1074" s="2">
        <f t="shared" si="67"/>
        <v>4.700431432456479E-2</v>
      </c>
      <c r="F1074" s="13" t="s">
        <v>1573</v>
      </c>
      <c r="G1074" s="119" t="s">
        <v>1559</v>
      </c>
      <c r="H1074" s="20" t="s">
        <v>946</v>
      </c>
      <c r="I1074" s="21" t="s">
        <v>1574</v>
      </c>
    </row>
    <row r="1075" spans="1:9">
      <c r="A1075" s="8" t="s">
        <v>389</v>
      </c>
      <c r="B1075" s="19">
        <v>130000</v>
      </c>
      <c r="C1075" s="19">
        <v>120000</v>
      </c>
      <c r="D1075" s="17">
        <f t="shared" ref="D1075:D1138" si="68">B1075-C1075</f>
        <v>10000</v>
      </c>
      <c r="E1075" s="2">
        <f t="shared" ref="E1075:E1138" si="69">(B1075-C1075)/C1075</f>
        <v>8.3333333333333329E-2</v>
      </c>
      <c r="F1075" s="13" t="s">
        <v>1575</v>
      </c>
      <c r="G1075" s="119" t="s">
        <v>1559</v>
      </c>
      <c r="H1075" s="20" t="s">
        <v>30</v>
      </c>
      <c r="I1075" s="21" t="s">
        <v>1576</v>
      </c>
    </row>
    <row r="1076" spans="1:9">
      <c r="A1076" s="8" t="s">
        <v>1413</v>
      </c>
      <c r="B1076" s="19">
        <v>7463000</v>
      </c>
      <c r="C1076" s="19">
        <v>5110000</v>
      </c>
      <c r="D1076" s="17">
        <f t="shared" si="68"/>
        <v>2353000</v>
      </c>
      <c r="E1076" s="2">
        <f t="shared" si="69"/>
        <v>0.46046966731898237</v>
      </c>
      <c r="F1076" s="13" t="s">
        <v>1577</v>
      </c>
      <c r="G1076" s="119" t="s">
        <v>1559</v>
      </c>
      <c r="H1076" s="20" t="s">
        <v>30</v>
      </c>
      <c r="I1076" s="21" t="s">
        <v>1578</v>
      </c>
    </row>
    <row r="1077" spans="1:9">
      <c r="A1077" s="8" t="s">
        <v>1436</v>
      </c>
      <c r="B1077" s="19">
        <v>7755000</v>
      </c>
      <c r="C1077" s="19">
        <v>6039000</v>
      </c>
      <c r="D1077" s="17">
        <f t="shared" si="68"/>
        <v>1716000</v>
      </c>
      <c r="E1077" s="2">
        <f t="shared" si="69"/>
        <v>0.28415300546448086</v>
      </c>
      <c r="F1077" s="13" t="s">
        <v>1579</v>
      </c>
      <c r="G1077" s="119" t="s">
        <v>1559</v>
      </c>
      <c r="H1077" s="20" t="s">
        <v>946</v>
      </c>
      <c r="I1077" s="21" t="s">
        <v>691</v>
      </c>
    </row>
    <row r="1078" spans="1:9">
      <c r="A1078" s="8" t="s">
        <v>389</v>
      </c>
      <c r="B1078" s="19">
        <v>1150000</v>
      </c>
      <c r="C1078" s="19">
        <v>1050000</v>
      </c>
      <c r="D1078" s="17">
        <f t="shared" si="68"/>
        <v>100000</v>
      </c>
      <c r="E1078" s="2">
        <f t="shared" si="69"/>
        <v>9.5238095238095233E-2</v>
      </c>
      <c r="F1078" s="13" t="s">
        <v>1393</v>
      </c>
      <c r="G1078" s="119" t="s">
        <v>1559</v>
      </c>
      <c r="H1078" s="20" t="s">
        <v>124</v>
      </c>
      <c r="I1078" s="21" t="s">
        <v>1580</v>
      </c>
    </row>
    <row r="1079" spans="1:9">
      <c r="A1079" s="8" t="s">
        <v>1581</v>
      </c>
      <c r="B1079" s="19">
        <v>5700000</v>
      </c>
      <c r="C1079" s="19">
        <v>5400000</v>
      </c>
      <c r="D1079" s="17">
        <f t="shared" si="68"/>
        <v>300000</v>
      </c>
      <c r="E1079" s="2">
        <f t="shared" si="69"/>
        <v>5.5555555555555552E-2</v>
      </c>
      <c r="F1079" s="13" t="s">
        <v>1582</v>
      </c>
      <c r="G1079" s="119" t="s">
        <v>1559</v>
      </c>
      <c r="H1079" s="20" t="s">
        <v>30</v>
      </c>
      <c r="I1079" s="21" t="s">
        <v>1361</v>
      </c>
    </row>
    <row r="1080" spans="1:9">
      <c r="A1080" s="8"/>
      <c r="B1080" s="19"/>
      <c r="C1080" s="19"/>
      <c r="D1080" s="17">
        <f t="shared" si="68"/>
        <v>0</v>
      </c>
      <c r="E1080" s="2" t="e">
        <f t="shared" si="69"/>
        <v>#DIV/0!</v>
      </c>
      <c r="F1080" s="13"/>
      <c r="G1080" s="48"/>
      <c r="H1080" s="20"/>
      <c r="I1080" s="21"/>
    </row>
    <row r="1081" spans="1:9">
      <c r="A1081" s="8"/>
      <c r="B1081" s="19"/>
      <c r="C1081" s="19"/>
      <c r="D1081" s="17">
        <f t="shared" si="68"/>
        <v>0</v>
      </c>
      <c r="E1081" s="2" t="e">
        <f t="shared" si="69"/>
        <v>#DIV/0!</v>
      </c>
      <c r="F1081" s="13"/>
      <c r="G1081" s="48"/>
      <c r="H1081" s="20"/>
      <c r="I1081" s="21"/>
    </row>
    <row r="1082" spans="1:9">
      <c r="A1082" s="8"/>
      <c r="B1082" s="19"/>
      <c r="C1082" s="19"/>
      <c r="D1082" s="17">
        <f t="shared" si="68"/>
        <v>0</v>
      </c>
      <c r="E1082" s="2" t="e">
        <f t="shared" si="69"/>
        <v>#DIV/0!</v>
      </c>
      <c r="F1082" s="13"/>
      <c r="G1082" s="48"/>
      <c r="H1082" s="20"/>
      <c r="I1082" s="21"/>
    </row>
    <row r="1083" spans="1:9">
      <c r="A1083" s="8"/>
      <c r="B1083" s="19"/>
      <c r="C1083" s="19"/>
      <c r="D1083" s="17">
        <f t="shared" si="68"/>
        <v>0</v>
      </c>
      <c r="E1083" s="2" t="e">
        <f t="shared" si="69"/>
        <v>#DIV/0!</v>
      </c>
      <c r="F1083" s="13"/>
      <c r="G1083" s="48"/>
      <c r="H1083" s="20"/>
      <c r="I1083" s="21"/>
    </row>
    <row r="1084" spans="1:9">
      <c r="A1084" s="8"/>
      <c r="B1084" s="19"/>
      <c r="C1084" s="19"/>
      <c r="D1084" s="17">
        <f t="shared" si="68"/>
        <v>0</v>
      </c>
      <c r="E1084" s="2" t="e">
        <f t="shared" si="69"/>
        <v>#DIV/0!</v>
      </c>
      <c r="F1084" s="13"/>
      <c r="G1084" s="48"/>
      <c r="H1084" s="20"/>
      <c r="I1084" s="21"/>
    </row>
    <row r="1085" spans="1:9">
      <c r="A1085" s="8"/>
      <c r="B1085" s="19"/>
      <c r="C1085" s="19"/>
      <c r="D1085" s="17">
        <f t="shared" si="68"/>
        <v>0</v>
      </c>
      <c r="E1085" s="2" t="e">
        <f t="shared" si="69"/>
        <v>#DIV/0!</v>
      </c>
      <c r="F1085" s="13"/>
      <c r="G1085" s="48"/>
      <c r="H1085" s="20"/>
      <c r="I1085" s="21"/>
    </row>
    <row r="1086" spans="1:9">
      <c r="A1086" s="8"/>
      <c r="B1086" s="19"/>
      <c r="C1086" s="19"/>
      <c r="D1086" s="17">
        <f t="shared" si="68"/>
        <v>0</v>
      </c>
      <c r="E1086" s="2" t="e">
        <f t="shared" si="69"/>
        <v>#DIV/0!</v>
      </c>
      <c r="F1086" s="13"/>
      <c r="G1086" s="48"/>
      <c r="H1086" s="20"/>
      <c r="I1086" s="21"/>
    </row>
    <row r="1087" spans="1:9">
      <c r="A1087" s="8"/>
      <c r="B1087" s="19"/>
      <c r="C1087" s="19"/>
      <c r="D1087" s="17">
        <f t="shared" si="68"/>
        <v>0</v>
      </c>
      <c r="E1087" s="2" t="e">
        <f t="shared" si="69"/>
        <v>#DIV/0!</v>
      </c>
      <c r="F1087" s="13"/>
      <c r="G1087" s="48"/>
      <c r="H1087" s="20"/>
      <c r="I1087" s="21"/>
    </row>
    <row r="1088" spans="1:9">
      <c r="A1088" s="8"/>
      <c r="B1088" s="19"/>
      <c r="C1088" s="19"/>
      <c r="D1088" s="17">
        <f t="shared" si="68"/>
        <v>0</v>
      </c>
      <c r="E1088" s="2" t="e">
        <f t="shared" si="69"/>
        <v>#DIV/0!</v>
      </c>
      <c r="F1088" s="13"/>
      <c r="G1088" s="48"/>
      <c r="H1088" s="20"/>
      <c r="I1088" s="21"/>
    </row>
    <row r="1089" spans="1:9">
      <c r="A1089" s="8"/>
      <c r="B1089" s="19"/>
      <c r="C1089" s="19"/>
      <c r="D1089" s="17">
        <f t="shared" si="68"/>
        <v>0</v>
      </c>
      <c r="E1089" s="2" t="e">
        <f t="shared" si="69"/>
        <v>#DIV/0!</v>
      </c>
      <c r="F1089" s="13"/>
      <c r="G1089" s="48"/>
      <c r="H1089" s="20"/>
      <c r="I1089" s="21"/>
    </row>
    <row r="1090" spans="1:9">
      <c r="A1090" s="8"/>
      <c r="B1090" s="19"/>
      <c r="C1090" s="19"/>
      <c r="D1090" s="17">
        <f t="shared" si="68"/>
        <v>0</v>
      </c>
      <c r="E1090" s="2" t="e">
        <f t="shared" si="69"/>
        <v>#DIV/0!</v>
      </c>
      <c r="F1090" s="13"/>
      <c r="G1090" s="48"/>
      <c r="H1090" s="20"/>
      <c r="I1090" s="21"/>
    </row>
    <row r="1091" spans="1:9">
      <c r="A1091" s="8"/>
      <c r="B1091" s="19"/>
      <c r="C1091" s="19"/>
      <c r="D1091" s="17">
        <f t="shared" si="68"/>
        <v>0</v>
      </c>
      <c r="E1091" s="2" t="e">
        <f t="shared" si="69"/>
        <v>#DIV/0!</v>
      </c>
      <c r="F1091" s="13"/>
      <c r="G1091" s="48"/>
      <c r="H1091" s="20"/>
      <c r="I1091" s="21"/>
    </row>
    <row r="1092" spans="1:9">
      <c r="A1092" s="8"/>
      <c r="B1092" s="19"/>
      <c r="C1092" s="19"/>
      <c r="D1092" s="17">
        <f t="shared" si="68"/>
        <v>0</v>
      </c>
      <c r="E1092" s="2" t="e">
        <f t="shared" si="69"/>
        <v>#DIV/0!</v>
      </c>
      <c r="F1092" s="13"/>
      <c r="G1092" s="48"/>
      <c r="H1092" s="20"/>
      <c r="I1092" s="21"/>
    </row>
    <row r="1093" spans="1:9">
      <c r="A1093" s="8"/>
      <c r="B1093" s="19"/>
      <c r="C1093" s="19"/>
      <c r="D1093" s="17">
        <f t="shared" si="68"/>
        <v>0</v>
      </c>
      <c r="E1093" s="2" t="e">
        <f t="shared" si="69"/>
        <v>#DIV/0!</v>
      </c>
      <c r="F1093" s="13"/>
      <c r="G1093" s="48"/>
      <c r="H1093" s="20"/>
      <c r="I1093" s="21"/>
    </row>
    <row r="1094" spans="1:9">
      <c r="A1094" s="8"/>
      <c r="B1094" s="19"/>
      <c r="C1094" s="19"/>
      <c r="D1094" s="17">
        <f t="shared" si="68"/>
        <v>0</v>
      </c>
      <c r="E1094" s="2" t="e">
        <f t="shared" si="69"/>
        <v>#DIV/0!</v>
      </c>
      <c r="F1094" s="13"/>
      <c r="G1094" s="48"/>
      <c r="H1094" s="20"/>
      <c r="I1094" s="21"/>
    </row>
    <row r="1095" spans="1:9">
      <c r="A1095" s="8"/>
      <c r="B1095" s="19"/>
      <c r="C1095" s="19"/>
      <c r="D1095" s="17">
        <f t="shared" si="68"/>
        <v>0</v>
      </c>
      <c r="E1095" s="2" t="e">
        <f t="shared" si="69"/>
        <v>#DIV/0!</v>
      </c>
      <c r="F1095" s="13"/>
      <c r="G1095" s="48"/>
      <c r="H1095" s="20"/>
      <c r="I1095" s="21"/>
    </row>
    <row r="1096" spans="1:9">
      <c r="A1096" s="8"/>
      <c r="B1096" s="19"/>
      <c r="C1096" s="19"/>
      <c r="D1096" s="17">
        <f t="shared" si="68"/>
        <v>0</v>
      </c>
      <c r="E1096" s="2" t="e">
        <f t="shared" si="69"/>
        <v>#DIV/0!</v>
      </c>
      <c r="F1096" s="13"/>
      <c r="G1096" s="48"/>
      <c r="H1096" s="20"/>
      <c r="I1096" s="21"/>
    </row>
    <row r="1097" spans="1:9">
      <c r="A1097" s="8"/>
      <c r="B1097" s="19"/>
      <c r="C1097" s="19"/>
      <c r="D1097" s="17">
        <f t="shared" si="68"/>
        <v>0</v>
      </c>
      <c r="E1097" s="2" t="e">
        <f t="shared" si="69"/>
        <v>#DIV/0!</v>
      </c>
      <c r="F1097" s="13"/>
      <c r="G1097" s="48"/>
      <c r="H1097" s="20"/>
      <c r="I1097" s="21"/>
    </row>
    <row r="1098" spans="1:9">
      <c r="A1098" s="8"/>
      <c r="B1098" s="19"/>
      <c r="C1098" s="19"/>
      <c r="D1098" s="17">
        <f t="shared" si="68"/>
        <v>0</v>
      </c>
      <c r="E1098" s="2" t="e">
        <f t="shared" si="69"/>
        <v>#DIV/0!</v>
      </c>
      <c r="F1098" s="13"/>
      <c r="G1098" s="48"/>
      <c r="H1098" s="20"/>
      <c r="I1098" s="21"/>
    </row>
    <row r="1099" spans="1:9">
      <c r="A1099" s="8"/>
      <c r="B1099" s="19"/>
      <c r="C1099" s="19"/>
      <c r="D1099" s="17">
        <f t="shared" si="68"/>
        <v>0</v>
      </c>
      <c r="E1099" s="2" t="e">
        <f t="shared" si="69"/>
        <v>#DIV/0!</v>
      </c>
      <c r="F1099" s="13"/>
      <c r="G1099" s="48"/>
      <c r="H1099" s="20"/>
      <c r="I1099" s="21"/>
    </row>
    <row r="1100" spans="1:9">
      <c r="A1100" s="8"/>
      <c r="B1100" s="19"/>
      <c r="C1100" s="19"/>
      <c r="D1100" s="17">
        <f t="shared" si="68"/>
        <v>0</v>
      </c>
      <c r="E1100" s="2" t="e">
        <f t="shared" si="69"/>
        <v>#DIV/0!</v>
      </c>
      <c r="F1100" s="13"/>
      <c r="G1100" s="48"/>
      <c r="H1100" s="20"/>
      <c r="I1100" s="21"/>
    </row>
    <row r="1101" spans="1:9">
      <c r="A1101" s="8"/>
      <c r="B1101" s="19"/>
      <c r="C1101" s="19"/>
      <c r="D1101" s="17">
        <f t="shared" si="68"/>
        <v>0</v>
      </c>
      <c r="E1101" s="2" t="e">
        <f t="shared" si="69"/>
        <v>#DIV/0!</v>
      </c>
      <c r="F1101" s="13"/>
      <c r="G1101" s="48"/>
      <c r="H1101" s="20"/>
      <c r="I1101" s="21"/>
    </row>
    <row r="1102" spans="1:9">
      <c r="A1102" s="8"/>
      <c r="B1102" s="19"/>
      <c r="C1102" s="19"/>
      <c r="D1102" s="17">
        <f t="shared" si="68"/>
        <v>0</v>
      </c>
      <c r="E1102" s="2" t="e">
        <f t="shared" si="69"/>
        <v>#DIV/0!</v>
      </c>
      <c r="F1102" s="13"/>
      <c r="G1102" s="48"/>
      <c r="H1102" s="20"/>
      <c r="I1102" s="21"/>
    </row>
    <row r="1103" spans="1:9">
      <c r="A1103" s="8"/>
      <c r="B1103" s="19"/>
      <c r="C1103" s="19"/>
      <c r="D1103" s="17">
        <f t="shared" si="68"/>
        <v>0</v>
      </c>
      <c r="E1103" s="2" t="e">
        <f t="shared" si="69"/>
        <v>#DIV/0!</v>
      </c>
      <c r="F1103" s="13"/>
      <c r="G1103" s="48"/>
      <c r="H1103" s="20"/>
      <c r="I1103" s="21"/>
    </row>
    <row r="1104" spans="1:9">
      <c r="A1104" s="8"/>
      <c r="B1104" s="19"/>
      <c r="C1104" s="19"/>
      <c r="D1104" s="17">
        <f t="shared" si="68"/>
        <v>0</v>
      </c>
      <c r="E1104" s="2" t="e">
        <f t="shared" si="69"/>
        <v>#DIV/0!</v>
      </c>
      <c r="F1104" s="13"/>
      <c r="G1104" s="48"/>
      <c r="H1104" s="20"/>
      <c r="I1104" s="21"/>
    </row>
    <row r="1105" spans="1:9">
      <c r="A1105" s="8"/>
      <c r="B1105" s="19"/>
      <c r="C1105" s="19"/>
      <c r="D1105" s="17">
        <f t="shared" si="68"/>
        <v>0</v>
      </c>
      <c r="E1105" s="2" t="e">
        <f t="shared" si="69"/>
        <v>#DIV/0!</v>
      </c>
      <c r="F1105" s="13"/>
      <c r="G1105" s="48"/>
      <c r="H1105" s="20"/>
      <c r="I1105" s="21"/>
    </row>
    <row r="1106" spans="1:9">
      <c r="A1106" s="8"/>
      <c r="B1106" s="19"/>
      <c r="C1106" s="19"/>
      <c r="D1106" s="17">
        <f t="shared" si="68"/>
        <v>0</v>
      </c>
      <c r="E1106" s="2" t="e">
        <f t="shared" si="69"/>
        <v>#DIV/0!</v>
      </c>
      <c r="F1106" s="13"/>
      <c r="G1106" s="48"/>
      <c r="H1106" s="20"/>
      <c r="I1106" s="21"/>
    </row>
    <row r="1107" spans="1:9">
      <c r="A1107" s="8"/>
      <c r="B1107" s="19"/>
      <c r="C1107" s="19"/>
      <c r="D1107" s="17">
        <f t="shared" si="68"/>
        <v>0</v>
      </c>
      <c r="E1107" s="2" t="e">
        <f t="shared" si="69"/>
        <v>#DIV/0!</v>
      </c>
      <c r="F1107" s="13"/>
      <c r="G1107" s="48"/>
      <c r="H1107" s="20"/>
      <c r="I1107" s="21"/>
    </row>
    <row r="1108" spans="1:9">
      <c r="A1108" s="8"/>
      <c r="B1108" s="19"/>
      <c r="C1108" s="19"/>
      <c r="D1108" s="17">
        <f t="shared" si="68"/>
        <v>0</v>
      </c>
      <c r="E1108" s="2" t="e">
        <f t="shared" si="69"/>
        <v>#DIV/0!</v>
      </c>
      <c r="F1108" s="13"/>
      <c r="G1108" s="48"/>
      <c r="H1108" s="20"/>
      <c r="I1108" s="21"/>
    </row>
    <row r="1109" spans="1:9">
      <c r="A1109" s="8"/>
      <c r="B1109" s="19"/>
      <c r="C1109" s="19"/>
      <c r="D1109" s="17">
        <f t="shared" si="68"/>
        <v>0</v>
      </c>
      <c r="E1109" s="2" t="e">
        <f t="shared" si="69"/>
        <v>#DIV/0!</v>
      </c>
      <c r="F1109" s="13"/>
      <c r="G1109" s="48"/>
      <c r="H1109" s="20"/>
      <c r="I1109" s="21"/>
    </row>
    <row r="1110" spans="1:9">
      <c r="A1110" s="8"/>
      <c r="B1110" s="19"/>
      <c r="C1110" s="19"/>
      <c r="D1110" s="17">
        <f t="shared" si="68"/>
        <v>0</v>
      </c>
      <c r="E1110" s="2" t="e">
        <f t="shared" si="69"/>
        <v>#DIV/0!</v>
      </c>
      <c r="F1110" s="13"/>
      <c r="G1110" s="48"/>
      <c r="H1110" s="20"/>
      <c r="I1110" s="21"/>
    </row>
    <row r="1111" spans="1:9">
      <c r="A1111" s="8"/>
      <c r="B1111" s="19"/>
      <c r="C1111" s="19"/>
      <c r="D1111" s="17">
        <f t="shared" si="68"/>
        <v>0</v>
      </c>
      <c r="E1111" s="2" t="e">
        <f t="shared" si="69"/>
        <v>#DIV/0!</v>
      </c>
      <c r="F1111" s="13"/>
      <c r="G1111" s="48"/>
      <c r="H1111" s="20"/>
      <c r="I1111" s="21"/>
    </row>
    <row r="1112" spans="1:9">
      <c r="A1112" s="8"/>
      <c r="B1112" s="19"/>
      <c r="C1112" s="19"/>
      <c r="D1112" s="17">
        <f t="shared" si="68"/>
        <v>0</v>
      </c>
      <c r="E1112" s="2" t="e">
        <f t="shared" si="69"/>
        <v>#DIV/0!</v>
      </c>
      <c r="F1112" s="13"/>
      <c r="G1112" s="48"/>
      <c r="H1112" s="20"/>
      <c r="I1112" s="21"/>
    </row>
    <row r="1113" spans="1:9">
      <c r="A1113" s="8"/>
      <c r="B1113" s="19"/>
      <c r="C1113" s="19"/>
      <c r="D1113" s="17">
        <f t="shared" si="68"/>
        <v>0</v>
      </c>
      <c r="E1113" s="2" t="e">
        <f t="shared" si="69"/>
        <v>#DIV/0!</v>
      </c>
      <c r="F1113" s="13"/>
      <c r="G1113" s="48"/>
      <c r="H1113" s="20"/>
      <c r="I1113" s="21"/>
    </row>
    <row r="1114" spans="1:9">
      <c r="A1114" s="8"/>
      <c r="B1114" s="19"/>
      <c r="C1114" s="19"/>
      <c r="D1114" s="17">
        <f t="shared" si="68"/>
        <v>0</v>
      </c>
      <c r="E1114" s="2" t="e">
        <f t="shared" si="69"/>
        <v>#DIV/0!</v>
      </c>
      <c r="F1114" s="13"/>
      <c r="G1114" s="48"/>
      <c r="H1114" s="20"/>
      <c r="I1114" s="21"/>
    </row>
    <row r="1115" spans="1:9">
      <c r="A1115" s="8"/>
      <c r="B1115" s="19"/>
      <c r="C1115" s="19"/>
      <c r="D1115" s="17">
        <f t="shared" si="68"/>
        <v>0</v>
      </c>
      <c r="E1115" s="2" t="e">
        <f t="shared" si="69"/>
        <v>#DIV/0!</v>
      </c>
      <c r="F1115" s="13"/>
      <c r="G1115" s="48"/>
      <c r="H1115" s="20"/>
      <c r="I1115" s="21"/>
    </row>
    <row r="1116" spans="1:9">
      <c r="A1116" s="8"/>
      <c r="B1116" s="19"/>
      <c r="C1116" s="19"/>
      <c r="D1116" s="17">
        <f t="shared" si="68"/>
        <v>0</v>
      </c>
      <c r="E1116" s="2" t="e">
        <f t="shared" si="69"/>
        <v>#DIV/0!</v>
      </c>
      <c r="F1116" s="13"/>
      <c r="G1116" s="48"/>
      <c r="H1116" s="20"/>
      <c r="I1116" s="21"/>
    </row>
    <row r="1117" spans="1:9">
      <c r="A1117" s="8"/>
      <c r="B1117" s="19"/>
      <c r="C1117" s="19"/>
      <c r="D1117" s="17">
        <f t="shared" si="68"/>
        <v>0</v>
      </c>
      <c r="E1117" s="2" t="e">
        <f t="shared" si="69"/>
        <v>#DIV/0!</v>
      </c>
      <c r="F1117" s="13"/>
      <c r="G1117" s="48"/>
      <c r="H1117" s="20"/>
      <c r="I1117" s="21"/>
    </row>
    <row r="1118" spans="1:9">
      <c r="A1118" s="8"/>
      <c r="B1118" s="19"/>
      <c r="C1118" s="19"/>
      <c r="D1118" s="17">
        <f t="shared" si="68"/>
        <v>0</v>
      </c>
      <c r="E1118" s="2" t="e">
        <f t="shared" si="69"/>
        <v>#DIV/0!</v>
      </c>
      <c r="F1118" s="13"/>
      <c r="G1118" s="48"/>
      <c r="H1118" s="20"/>
      <c r="I1118" s="21"/>
    </row>
    <row r="1119" spans="1:9">
      <c r="A1119" s="8"/>
      <c r="B1119" s="19"/>
      <c r="C1119" s="19"/>
      <c r="D1119" s="17">
        <f t="shared" si="68"/>
        <v>0</v>
      </c>
      <c r="E1119" s="2" t="e">
        <f t="shared" si="69"/>
        <v>#DIV/0!</v>
      </c>
      <c r="F1119" s="13"/>
      <c r="G1119" s="48"/>
      <c r="H1119" s="20"/>
      <c r="I1119" s="21"/>
    </row>
    <row r="1120" spans="1:9">
      <c r="A1120" s="8"/>
      <c r="B1120" s="19"/>
      <c r="C1120" s="19"/>
      <c r="D1120" s="17">
        <f t="shared" si="68"/>
        <v>0</v>
      </c>
      <c r="E1120" s="2" t="e">
        <f t="shared" si="69"/>
        <v>#DIV/0!</v>
      </c>
      <c r="F1120" s="13"/>
      <c r="G1120" s="48"/>
      <c r="H1120" s="20"/>
      <c r="I1120" s="21"/>
    </row>
    <row r="1121" spans="1:9">
      <c r="A1121" s="8"/>
      <c r="B1121" s="19"/>
      <c r="C1121" s="19"/>
      <c r="D1121" s="17">
        <f t="shared" si="68"/>
        <v>0</v>
      </c>
      <c r="E1121" s="2" t="e">
        <f t="shared" si="69"/>
        <v>#DIV/0!</v>
      </c>
      <c r="F1121" s="13"/>
      <c r="G1121" s="48"/>
      <c r="H1121" s="20"/>
      <c r="I1121" s="21"/>
    </row>
    <row r="1122" spans="1:9">
      <c r="A1122" s="8"/>
      <c r="B1122" s="19"/>
      <c r="C1122" s="19"/>
      <c r="D1122" s="17">
        <f t="shared" si="68"/>
        <v>0</v>
      </c>
      <c r="E1122" s="2" t="e">
        <f t="shared" si="69"/>
        <v>#DIV/0!</v>
      </c>
      <c r="F1122" s="13"/>
      <c r="G1122" s="48"/>
      <c r="H1122" s="20"/>
      <c r="I1122" s="21"/>
    </row>
    <row r="1123" spans="1:9">
      <c r="A1123" s="8"/>
      <c r="B1123" s="19"/>
      <c r="C1123" s="19"/>
      <c r="D1123" s="17">
        <f t="shared" si="68"/>
        <v>0</v>
      </c>
      <c r="E1123" s="2" t="e">
        <f t="shared" si="69"/>
        <v>#DIV/0!</v>
      </c>
      <c r="F1123" s="13"/>
      <c r="G1123" s="48"/>
      <c r="H1123" s="20"/>
      <c r="I1123" s="21"/>
    </row>
    <row r="1124" spans="1:9">
      <c r="A1124" s="8"/>
      <c r="B1124" s="19"/>
      <c r="C1124" s="19"/>
      <c r="D1124" s="17">
        <f t="shared" si="68"/>
        <v>0</v>
      </c>
      <c r="E1124" s="2" t="e">
        <f t="shared" si="69"/>
        <v>#DIV/0!</v>
      </c>
      <c r="F1124" s="13"/>
      <c r="G1124" s="48"/>
      <c r="H1124" s="20"/>
      <c r="I1124" s="21"/>
    </row>
    <row r="1125" spans="1:9">
      <c r="A1125" s="8"/>
      <c r="B1125" s="19"/>
      <c r="C1125" s="19"/>
      <c r="D1125" s="17">
        <f t="shared" si="68"/>
        <v>0</v>
      </c>
      <c r="E1125" s="2" t="e">
        <f t="shared" si="69"/>
        <v>#DIV/0!</v>
      </c>
      <c r="F1125" s="13"/>
      <c r="G1125" s="48"/>
      <c r="H1125" s="20"/>
      <c r="I1125" s="21"/>
    </row>
    <row r="1126" spans="1:9">
      <c r="A1126" s="8"/>
      <c r="B1126" s="19"/>
      <c r="C1126" s="19"/>
      <c r="D1126" s="17">
        <f t="shared" si="68"/>
        <v>0</v>
      </c>
      <c r="E1126" s="2" t="e">
        <f t="shared" si="69"/>
        <v>#DIV/0!</v>
      </c>
      <c r="F1126" s="13"/>
      <c r="G1126" s="48"/>
      <c r="H1126" s="20"/>
      <c r="I1126" s="21"/>
    </row>
    <row r="1127" spans="1:9">
      <c r="A1127" s="8"/>
      <c r="B1127" s="19"/>
      <c r="C1127" s="19"/>
      <c r="D1127" s="17">
        <f t="shared" si="68"/>
        <v>0</v>
      </c>
      <c r="E1127" s="2" t="e">
        <f t="shared" si="69"/>
        <v>#DIV/0!</v>
      </c>
      <c r="F1127" s="13"/>
      <c r="G1127" s="48"/>
      <c r="H1127" s="20"/>
      <c r="I1127" s="21"/>
    </row>
    <row r="1128" spans="1:9">
      <c r="A1128" s="8"/>
      <c r="B1128" s="19"/>
      <c r="C1128" s="19"/>
      <c r="D1128" s="17">
        <f t="shared" si="68"/>
        <v>0</v>
      </c>
      <c r="E1128" s="2" t="e">
        <f t="shared" si="69"/>
        <v>#DIV/0!</v>
      </c>
      <c r="F1128" s="13"/>
      <c r="G1128" s="48"/>
      <c r="H1128" s="20"/>
      <c r="I1128" s="21"/>
    </row>
    <row r="1129" spans="1:9">
      <c r="A1129" s="8"/>
      <c r="B1129" s="19"/>
      <c r="C1129" s="19"/>
      <c r="D1129" s="17">
        <f t="shared" si="68"/>
        <v>0</v>
      </c>
      <c r="E1129" s="2" t="e">
        <f t="shared" si="69"/>
        <v>#DIV/0!</v>
      </c>
      <c r="F1129" s="13"/>
      <c r="G1129" s="48"/>
      <c r="H1129" s="20"/>
      <c r="I1129" s="21"/>
    </row>
    <row r="1130" spans="1:9">
      <c r="A1130" s="8"/>
      <c r="B1130" s="19"/>
      <c r="C1130" s="19"/>
      <c r="D1130" s="17">
        <f t="shared" si="68"/>
        <v>0</v>
      </c>
      <c r="E1130" s="2" t="e">
        <f t="shared" si="69"/>
        <v>#DIV/0!</v>
      </c>
      <c r="F1130" s="13"/>
      <c r="G1130" s="48"/>
      <c r="H1130" s="20"/>
      <c r="I1130" s="21"/>
    </row>
    <row r="1131" spans="1:9">
      <c r="A1131" s="8"/>
      <c r="B1131" s="19"/>
      <c r="C1131" s="19"/>
      <c r="D1131" s="17">
        <f t="shared" si="68"/>
        <v>0</v>
      </c>
      <c r="E1131" s="2" t="e">
        <f t="shared" si="69"/>
        <v>#DIV/0!</v>
      </c>
      <c r="F1131" s="13"/>
      <c r="G1131" s="48"/>
      <c r="H1131" s="20"/>
      <c r="I1131" s="21"/>
    </row>
    <row r="1132" spans="1:9">
      <c r="A1132" s="8"/>
      <c r="B1132" s="19"/>
      <c r="C1132" s="19"/>
      <c r="D1132" s="17">
        <f t="shared" si="68"/>
        <v>0</v>
      </c>
      <c r="E1132" s="2" t="e">
        <f t="shared" si="69"/>
        <v>#DIV/0!</v>
      </c>
      <c r="F1132" s="13"/>
      <c r="G1132" s="48"/>
      <c r="H1132" s="20"/>
      <c r="I1132" s="21"/>
    </row>
    <row r="1133" spans="1:9">
      <c r="A1133" s="8"/>
      <c r="B1133" s="19"/>
      <c r="C1133" s="19"/>
      <c r="D1133" s="17">
        <f t="shared" si="68"/>
        <v>0</v>
      </c>
      <c r="E1133" s="2" t="e">
        <f t="shared" si="69"/>
        <v>#DIV/0!</v>
      </c>
      <c r="F1133" s="13"/>
      <c r="G1133" s="48"/>
      <c r="H1133" s="20"/>
      <c r="I1133" s="21"/>
    </row>
    <row r="1134" spans="1:9">
      <c r="A1134" s="8"/>
      <c r="B1134" s="19"/>
      <c r="C1134" s="19"/>
      <c r="D1134" s="17">
        <f t="shared" si="68"/>
        <v>0</v>
      </c>
      <c r="E1134" s="2" t="e">
        <f t="shared" si="69"/>
        <v>#DIV/0!</v>
      </c>
      <c r="F1134" s="13"/>
      <c r="G1134" s="48"/>
      <c r="H1134" s="20"/>
      <c r="I1134" s="21"/>
    </row>
    <row r="1135" spans="1:9">
      <c r="A1135" s="8"/>
      <c r="B1135" s="19"/>
      <c r="C1135" s="19"/>
      <c r="D1135" s="17">
        <f t="shared" si="68"/>
        <v>0</v>
      </c>
      <c r="E1135" s="2" t="e">
        <f t="shared" si="69"/>
        <v>#DIV/0!</v>
      </c>
      <c r="F1135" s="13"/>
      <c r="G1135" s="48"/>
      <c r="H1135" s="20"/>
      <c r="I1135" s="21"/>
    </row>
    <row r="1136" spans="1:9">
      <c r="A1136" s="8"/>
      <c r="B1136" s="19"/>
      <c r="C1136" s="19"/>
      <c r="D1136" s="17">
        <f t="shared" si="68"/>
        <v>0</v>
      </c>
      <c r="E1136" s="2" t="e">
        <f t="shared" si="69"/>
        <v>#DIV/0!</v>
      </c>
      <c r="F1136" s="13"/>
      <c r="G1136" s="48"/>
      <c r="H1136" s="20"/>
      <c r="I1136" s="21"/>
    </row>
    <row r="1137" spans="1:9">
      <c r="A1137" s="8"/>
      <c r="B1137" s="19"/>
      <c r="C1137" s="19"/>
      <c r="D1137" s="17">
        <f t="shared" si="68"/>
        <v>0</v>
      </c>
      <c r="E1137" s="2" t="e">
        <f t="shared" si="69"/>
        <v>#DIV/0!</v>
      </c>
      <c r="F1137" s="13"/>
      <c r="G1137" s="48"/>
      <c r="H1137" s="20"/>
      <c r="I1137" s="21"/>
    </row>
    <row r="1138" spans="1:9">
      <c r="A1138" s="8"/>
      <c r="B1138" s="19"/>
      <c r="C1138" s="19"/>
      <c r="D1138" s="17">
        <f t="shared" si="68"/>
        <v>0</v>
      </c>
      <c r="E1138" s="2" t="e">
        <f t="shared" si="69"/>
        <v>#DIV/0!</v>
      </c>
      <c r="F1138" s="13"/>
      <c r="G1138" s="48"/>
      <c r="H1138" s="20"/>
      <c r="I1138" s="21"/>
    </row>
    <row r="1139" spans="1:9">
      <c r="A1139" s="8"/>
      <c r="B1139" s="19"/>
      <c r="C1139" s="19"/>
      <c r="D1139" s="17">
        <f t="shared" ref="D1139:D1202" si="70">B1139-C1139</f>
        <v>0</v>
      </c>
      <c r="E1139" s="2" t="e">
        <f t="shared" ref="E1139:E1202" si="71">(B1139-C1139)/C1139</f>
        <v>#DIV/0!</v>
      </c>
      <c r="F1139" s="13"/>
      <c r="G1139" s="48"/>
      <c r="H1139" s="20"/>
      <c r="I1139" s="21"/>
    </row>
    <row r="1140" spans="1:9">
      <c r="A1140" s="8"/>
      <c r="B1140" s="19"/>
      <c r="C1140" s="19"/>
      <c r="D1140" s="17">
        <f t="shared" si="70"/>
        <v>0</v>
      </c>
      <c r="E1140" s="2" t="e">
        <f t="shared" si="71"/>
        <v>#DIV/0!</v>
      </c>
      <c r="F1140" s="13"/>
      <c r="G1140" s="48"/>
      <c r="H1140" s="20"/>
      <c r="I1140" s="21"/>
    </row>
    <row r="1141" spans="1:9">
      <c r="A1141" s="8"/>
      <c r="B1141" s="19"/>
      <c r="C1141" s="19"/>
      <c r="D1141" s="17">
        <f t="shared" si="70"/>
        <v>0</v>
      </c>
      <c r="E1141" s="2" t="e">
        <f t="shared" si="71"/>
        <v>#DIV/0!</v>
      </c>
      <c r="F1141" s="13"/>
      <c r="G1141" s="48"/>
      <c r="H1141" s="20"/>
      <c r="I1141" s="21"/>
    </row>
    <row r="1142" spans="1:9">
      <c r="A1142" s="8"/>
      <c r="B1142" s="19"/>
      <c r="C1142" s="19"/>
      <c r="D1142" s="17">
        <f t="shared" si="70"/>
        <v>0</v>
      </c>
      <c r="E1142" s="2" t="e">
        <f t="shared" si="71"/>
        <v>#DIV/0!</v>
      </c>
      <c r="F1142" s="13"/>
      <c r="G1142" s="48"/>
      <c r="H1142" s="20"/>
      <c r="I1142" s="21"/>
    </row>
    <row r="1143" spans="1:9">
      <c r="A1143" s="8"/>
      <c r="B1143" s="19"/>
      <c r="C1143" s="19"/>
      <c r="D1143" s="17">
        <f t="shared" si="70"/>
        <v>0</v>
      </c>
      <c r="E1143" s="2" t="e">
        <f t="shared" si="71"/>
        <v>#DIV/0!</v>
      </c>
      <c r="F1143" s="13"/>
      <c r="G1143" s="48"/>
      <c r="H1143" s="20"/>
      <c r="I1143" s="21"/>
    </row>
    <row r="1144" spans="1:9">
      <c r="A1144" s="8"/>
      <c r="B1144" s="19"/>
      <c r="C1144" s="19"/>
      <c r="D1144" s="17">
        <f t="shared" si="70"/>
        <v>0</v>
      </c>
      <c r="E1144" s="2" t="e">
        <f t="shared" si="71"/>
        <v>#DIV/0!</v>
      </c>
      <c r="F1144" s="13"/>
      <c r="G1144" s="48"/>
      <c r="H1144" s="20"/>
      <c r="I1144" s="21"/>
    </row>
    <row r="1145" spans="1:9">
      <c r="A1145" s="8"/>
      <c r="B1145" s="19"/>
      <c r="C1145" s="19"/>
      <c r="D1145" s="17">
        <f t="shared" si="70"/>
        <v>0</v>
      </c>
      <c r="E1145" s="2" t="e">
        <f t="shared" si="71"/>
        <v>#DIV/0!</v>
      </c>
      <c r="F1145" s="13"/>
      <c r="G1145" s="48"/>
      <c r="H1145" s="20"/>
      <c r="I1145" s="21"/>
    </row>
    <row r="1146" spans="1:9">
      <c r="A1146" s="8"/>
      <c r="B1146" s="19"/>
      <c r="C1146" s="19"/>
      <c r="D1146" s="17">
        <f t="shared" si="70"/>
        <v>0</v>
      </c>
      <c r="E1146" s="2" t="e">
        <f t="shared" si="71"/>
        <v>#DIV/0!</v>
      </c>
      <c r="F1146" s="13"/>
      <c r="G1146" s="48"/>
      <c r="H1146" s="20"/>
      <c r="I1146" s="21"/>
    </row>
    <row r="1147" spans="1:9">
      <c r="A1147" s="8"/>
      <c r="B1147" s="19"/>
      <c r="C1147" s="19"/>
      <c r="D1147" s="17">
        <f t="shared" si="70"/>
        <v>0</v>
      </c>
      <c r="E1147" s="2" t="e">
        <f t="shared" si="71"/>
        <v>#DIV/0!</v>
      </c>
      <c r="F1147" s="13"/>
      <c r="G1147" s="48"/>
      <c r="H1147" s="20"/>
      <c r="I1147" s="21"/>
    </row>
    <row r="1148" spans="1:9">
      <c r="A1148" s="8"/>
      <c r="B1148" s="19"/>
      <c r="C1148" s="19"/>
      <c r="D1148" s="17">
        <f t="shared" si="70"/>
        <v>0</v>
      </c>
      <c r="E1148" s="2" t="e">
        <f t="shared" si="71"/>
        <v>#DIV/0!</v>
      </c>
      <c r="F1148" s="13"/>
      <c r="G1148" s="48"/>
      <c r="H1148" s="20"/>
      <c r="I1148" s="21"/>
    </row>
    <row r="1149" spans="1:9">
      <c r="A1149" s="8"/>
      <c r="B1149" s="19"/>
      <c r="C1149" s="19"/>
      <c r="D1149" s="17">
        <f t="shared" si="70"/>
        <v>0</v>
      </c>
      <c r="E1149" s="2" t="e">
        <f t="shared" si="71"/>
        <v>#DIV/0!</v>
      </c>
      <c r="F1149" s="13"/>
      <c r="G1149" s="48"/>
      <c r="H1149" s="20"/>
      <c r="I1149" s="21"/>
    </row>
    <row r="1150" spans="1:9">
      <c r="A1150" s="8"/>
      <c r="B1150" s="19"/>
      <c r="C1150" s="19"/>
      <c r="D1150" s="17">
        <f t="shared" si="70"/>
        <v>0</v>
      </c>
      <c r="E1150" s="2" t="e">
        <f t="shared" si="71"/>
        <v>#DIV/0!</v>
      </c>
      <c r="F1150" s="13"/>
      <c r="G1150" s="48"/>
      <c r="H1150" s="20"/>
      <c r="I1150" s="21"/>
    </row>
    <row r="1151" spans="1:9">
      <c r="A1151" s="8"/>
      <c r="B1151" s="19"/>
      <c r="C1151" s="19"/>
      <c r="D1151" s="17">
        <f t="shared" si="70"/>
        <v>0</v>
      </c>
      <c r="E1151" s="2" t="e">
        <f t="shared" si="71"/>
        <v>#DIV/0!</v>
      </c>
      <c r="F1151" s="13"/>
      <c r="G1151" s="48"/>
      <c r="H1151" s="20"/>
      <c r="I1151" s="21"/>
    </row>
    <row r="1152" spans="1:9">
      <c r="A1152" s="8"/>
      <c r="B1152" s="19"/>
      <c r="C1152" s="19"/>
      <c r="D1152" s="17">
        <f t="shared" si="70"/>
        <v>0</v>
      </c>
      <c r="E1152" s="2" t="e">
        <f t="shared" si="71"/>
        <v>#DIV/0!</v>
      </c>
      <c r="F1152" s="13"/>
      <c r="G1152" s="48"/>
      <c r="H1152" s="20"/>
      <c r="I1152" s="21"/>
    </row>
    <row r="1153" spans="1:9">
      <c r="A1153" s="8"/>
      <c r="B1153" s="19"/>
      <c r="C1153" s="19"/>
      <c r="D1153" s="17">
        <f t="shared" si="70"/>
        <v>0</v>
      </c>
      <c r="E1153" s="2" t="e">
        <f t="shared" si="71"/>
        <v>#DIV/0!</v>
      </c>
      <c r="F1153" s="13"/>
      <c r="G1153" s="48"/>
      <c r="H1153" s="20"/>
      <c r="I1153" s="21"/>
    </row>
    <row r="1154" spans="1:9">
      <c r="A1154" s="8"/>
      <c r="B1154" s="19"/>
      <c r="C1154" s="19"/>
      <c r="D1154" s="17">
        <f t="shared" si="70"/>
        <v>0</v>
      </c>
      <c r="E1154" s="2" t="e">
        <f t="shared" si="71"/>
        <v>#DIV/0!</v>
      </c>
      <c r="F1154" s="13"/>
      <c r="G1154" s="48"/>
      <c r="H1154" s="20"/>
      <c r="I1154" s="21"/>
    </row>
    <row r="1155" spans="1:9">
      <c r="A1155" s="8"/>
      <c r="B1155" s="19"/>
      <c r="C1155" s="19"/>
      <c r="D1155" s="17">
        <f t="shared" si="70"/>
        <v>0</v>
      </c>
      <c r="E1155" s="2" t="e">
        <f t="shared" si="71"/>
        <v>#DIV/0!</v>
      </c>
      <c r="F1155" s="13"/>
      <c r="G1155" s="48"/>
      <c r="H1155" s="20"/>
      <c r="I1155" s="21"/>
    </row>
    <row r="1156" spans="1:9">
      <c r="A1156" s="8"/>
      <c r="B1156" s="19"/>
      <c r="C1156" s="19"/>
      <c r="D1156" s="17">
        <f t="shared" si="70"/>
        <v>0</v>
      </c>
      <c r="E1156" s="2" t="e">
        <f t="shared" si="71"/>
        <v>#DIV/0!</v>
      </c>
      <c r="F1156" s="13"/>
      <c r="G1156" s="48"/>
      <c r="H1156" s="20"/>
      <c r="I1156" s="21"/>
    </row>
    <row r="1157" spans="1:9">
      <c r="A1157" s="8"/>
      <c r="B1157" s="19"/>
      <c r="C1157" s="19"/>
      <c r="D1157" s="17">
        <f t="shared" si="70"/>
        <v>0</v>
      </c>
      <c r="E1157" s="2" t="e">
        <f t="shared" si="71"/>
        <v>#DIV/0!</v>
      </c>
      <c r="F1157" s="13"/>
      <c r="G1157" s="48"/>
      <c r="H1157" s="20"/>
      <c r="I1157" s="21"/>
    </row>
    <row r="1158" spans="1:9">
      <c r="A1158" s="8"/>
      <c r="B1158" s="19"/>
      <c r="C1158" s="19"/>
      <c r="D1158" s="17">
        <f t="shared" si="70"/>
        <v>0</v>
      </c>
      <c r="E1158" s="2" t="e">
        <f t="shared" si="71"/>
        <v>#DIV/0!</v>
      </c>
      <c r="F1158" s="13"/>
      <c r="G1158" s="48"/>
      <c r="H1158" s="20"/>
      <c r="I1158" s="21"/>
    </row>
    <row r="1159" spans="1:9">
      <c r="A1159" s="8"/>
      <c r="B1159" s="19"/>
      <c r="C1159" s="19"/>
      <c r="D1159" s="17">
        <f t="shared" si="70"/>
        <v>0</v>
      </c>
      <c r="E1159" s="2" t="e">
        <f t="shared" si="71"/>
        <v>#DIV/0!</v>
      </c>
      <c r="F1159" s="13"/>
      <c r="G1159" s="48"/>
      <c r="H1159" s="20"/>
      <c r="I1159" s="21"/>
    </row>
    <row r="1160" spans="1:9">
      <c r="A1160" s="8"/>
      <c r="B1160" s="19"/>
      <c r="C1160" s="19"/>
      <c r="D1160" s="17">
        <f t="shared" si="70"/>
        <v>0</v>
      </c>
      <c r="E1160" s="2" t="e">
        <f t="shared" si="71"/>
        <v>#DIV/0!</v>
      </c>
      <c r="F1160" s="13"/>
      <c r="G1160" s="48"/>
      <c r="H1160" s="20"/>
      <c r="I1160" s="21"/>
    </row>
    <row r="1161" spans="1:9">
      <c r="A1161" s="8"/>
      <c r="B1161" s="19"/>
      <c r="C1161" s="19"/>
      <c r="D1161" s="17">
        <f t="shared" si="70"/>
        <v>0</v>
      </c>
      <c r="E1161" s="2" t="e">
        <f t="shared" si="71"/>
        <v>#DIV/0!</v>
      </c>
      <c r="F1161" s="13"/>
      <c r="G1161" s="48"/>
      <c r="H1161" s="20"/>
      <c r="I1161" s="21"/>
    </row>
    <row r="1162" spans="1:9">
      <c r="A1162" s="8"/>
      <c r="B1162" s="19"/>
      <c r="C1162" s="19"/>
      <c r="D1162" s="17">
        <f t="shared" si="70"/>
        <v>0</v>
      </c>
      <c r="E1162" s="2" t="e">
        <f t="shared" si="71"/>
        <v>#DIV/0!</v>
      </c>
      <c r="F1162" s="13"/>
      <c r="G1162" s="48"/>
      <c r="H1162" s="20"/>
      <c r="I1162" s="21"/>
    </row>
    <row r="1163" spans="1:9">
      <c r="A1163" s="8"/>
      <c r="B1163" s="19"/>
      <c r="C1163" s="19"/>
      <c r="D1163" s="17">
        <f t="shared" si="70"/>
        <v>0</v>
      </c>
      <c r="E1163" s="2" t="e">
        <f t="shared" si="71"/>
        <v>#DIV/0!</v>
      </c>
      <c r="F1163" s="13"/>
      <c r="G1163" s="48"/>
      <c r="H1163" s="20"/>
      <c r="I1163" s="21"/>
    </row>
    <row r="1164" spans="1:9">
      <c r="A1164" s="8"/>
      <c r="B1164" s="19"/>
      <c r="C1164" s="19"/>
      <c r="D1164" s="17">
        <f t="shared" si="70"/>
        <v>0</v>
      </c>
      <c r="E1164" s="2" t="e">
        <f t="shared" si="71"/>
        <v>#DIV/0!</v>
      </c>
      <c r="F1164" s="13"/>
      <c r="G1164" s="48"/>
      <c r="H1164" s="20"/>
      <c r="I1164" s="21"/>
    </row>
    <row r="1165" spans="1:9">
      <c r="A1165" s="8"/>
      <c r="B1165" s="19"/>
      <c r="C1165" s="19"/>
      <c r="D1165" s="17">
        <f t="shared" si="70"/>
        <v>0</v>
      </c>
      <c r="E1165" s="2" t="e">
        <f t="shared" si="71"/>
        <v>#DIV/0!</v>
      </c>
      <c r="F1165" s="13"/>
      <c r="G1165" s="48"/>
      <c r="H1165" s="20"/>
      <c r="I1165" s="21"/>
    </row>
    <row r="1166" spans="1:9">
      <c r="A1166" s="8"/>
      <c r="B1166" s="19"/>
      <c r="C1166" s="19"/>
      <c r="D1166" s="17">
        <f t="shared" si="70"/>
        <v>0</v>
      </c>
      <c r="E1166" s="2" t="e">
        <f t="shared" si="71"/>
        <v>#DIV/0!</v>
      </c>
      <c r="F1166" s="13"/>
      <c r="G1166" s="48"/>
      <c r="H1166" s="20"/>
      <c r="I1166" s="21"/>
    </row>
    <row r="1167" spans="1:9">
      <c r="A1167" s="8"/>
      <c r="B1167" s="19"/>
      <c r="C1167" s="19"/>
      <c r="D1167" s="17">
        <f t="shared" si="70"/>
        <v>0</v>
      </c>
      <c r="E1167" s="2" t="e">
        <f t="shared" si="71"/>
        <v>#DIV/0!</v>
      </c>
      <c r="F1167" s="13"/>
      <c r="G1167" s="48"/>
      <c r="H1167" s="20"/>
      <c r="I1167" s="21"/>
    </row>
    <row r="1168" spans="1:9">
      <c r="A1168" s="8"/>
      <c r="B1168" s="19"/>
      <c r="C1168" s="19"/>
      <c r="D1168" s="17">
        <f t="shared" si="70"/>
        <v>0</v>
      </c>
      <c r="E1168" s="2" t="e">
        <f t="shared" si="71"/>
        <v>#DIV/0!</v>
      </c>
      <c r="F1168" s="13"/>
      <c r="G1168" s="48"/>
      <c r="H1168" s="20"/>
      <c r="I1168" s="21"/>
    </row>
    <row r="1169" spans="1:9">
      <c r="A1169" s="8"/>
      <c r="B1169" s="19"/>
      <c r="C1169" s="19"/>
      <c r="D1169" s="17">
        <f t="shared" si="70"/>
        <v>0</v>
      </c>
      <c r="E1169" s="2" t="e">
        <f t="shared" si="71"/>
        <v>#DIV/0!</v>
      </c>
      <c r="F1169" s="13"/>
      <c r="G1169" s="48"/>
      <c r="H1169" s="20"/>
      <c r="I1169" s="21"/>
    </row>
    <row r="1170" spans="1:9">
      <c r="A1170" s="8"/>
      <c r="B1170" s="19"/>
      <c r="C1170" s="19"/>
      <c r="D1170" s="17">
        <f t="shared" si="70"/>
        <v>0</v>
      </c>
      <c r="E1170" s="2" t="e">
        <f t="shared" si="71"/>
        <v>#DIV/0!</v>
      </c>
      <c r="F1170" s="13"/>
      <c r="G1170" s="48"/>
      <c r="H1170" s="20"/>
      <c r="I1170" s="21"/>
    </row>
    <row r="1171" spans="1:9">
      <c r="A1171" s="8"/>
      <c r="B1171" s="19"/>
      <c r="C1171" s="19"/>
      <c r="D1171" s="17">
        <f t="shared" si="70"/>
        <v>0</v>
      </c>
      <c r="E1171" s="2" t="e">
        <f t="shared" si="71"/>
        <v>#DIV/0!</v>
      </c>
      <c r="F1171" s="13"/>
      <c r="G1171" s="48"/>
      <c r="H1171" s="20"/>
      <c r="I1171" s="21"/>
    </row>
    <row r="1172" spans="1:9">
      <c r="A1172" s="8"/>
      <c r="B1172" s="19"/>
      <c r="C1172" s="19"/>
      <c r="D1172" s="17">
        <f t="shared" si="70"/>
        <v>0</v>
      </c>
      <c r="E1172" s="2" t="e">
        <f t="shared" si="71"/>
        <v>#DIV/0!</v>
      </c>
      <c r="F1172" s="13"/>
      <c r="G1172" s="48"/>
      <c r="H1172" s="20"/>
      <c r="I1172" s="21"/>
    </row>
    <row r="1173" spans="1:9">
      <c r="A1173" s="8"/>
      <c r="B1173" s="19"/>
      <c r="C1173" s="19"/>
      <c r="D1173" s="17">
        <f t="shared" si="70"/>
        <v>0</v>
      </c>
      <c r="E1173" s="2" t="e">
        <f t="shared" si="71"/>
        <v>#DIV/0!</v>
      </c>
      <c r="F1173" s="13"/>
      <c r="G1173" s="48"/>
      <c r="H1173" s="20"/>
      <c r="I1173" s="21"/>
    </row>
    <row r="1174" spans="1:9">
      <c r="A1174" s="8"/>
      <c r="B1174" s="19"/>
      <c r="C1174" s="19"/>
      <c r="D1174" s="17">
        <f t="shared" si="70"/>
        <v>0</v>
      </c>
      <c r="E1174" s="2" t="e">
        <f t="shared" si="71"/>
        <v>#DIV/0!</v>
      </c>
      <c r="F1174" s="13"/>
      <c r="G1174" s="48"/>
      <c r="H1174" s="20"/>
      <c r="I1174" s="21"/>
    </row>
    <row r="1175" spans="1:9">
      <c r="A1175" s="8"/>
      <c r="B1175" s="19"/>
      <c r="C1175" s="19"/>
      <c r="D1175" s="17">
        <f t="shared" si="70"/>
        <v>0</v>
      </c>
      <c r="E1175" s="2" t="e">
        <f t="shared" si="71"/>
        <v>#DIV/0!</v>
      </c>
      <c r="F1175" s="13"/>
      <c r="G1175" s="48"/>
      <c r="H1175" s="20"/>
      <c r="I1175" s="21"/>
    </row>
    <row r="1176" spans="1:9">
      <c r="A1176" s="8"/>
      <c r="B1176" s="19"/>
      <c r="C1176" s="19"/>
      <c r="D1176" s="17">
        <f t="shared" si="70"/>
        <v>0</v>
      </c>
      <c r="E1176" s="2" t="e">
        <f t="shared" si="71"/>
        <v>#DIV/0!</v>
      </c>
      <c r="F1176" s="13"/>
      <c r="G1176" s="48"/>
      <c r="H1176" s="20"/>
      <c r="I1176" s="21"/>
    </row>
    <row r="1177" spans="1:9">
      <c r="A1177" s="8"/>
      <c r="B1177" s="19"/>
      <c r="C1177" s="19"/>
      <c r="D1177" s="17">
        <f t="shared" si="70"/>
        <v>0</v>
      </c>
      <c r="E1177" s="2" t="e">
        <f t="shared" si="71"/>
        <v>#DIV/0!</v>
      </c>
      <c r="F1177" s="13"/>
      <c r="G1177" s="48"/>
      <c r="H1177" s="20"/>
      <c r="I1177" s="21"/>
    </row>
    <row r="1178" spans="1:9">
      <c r="A1178" s="8"/>
      <c r="B1178" s="19"/>
      <c r="C1178" s="19"/>
      <c r="D1178" s="17">
        <f t="shared" si="70"/>
        <v>0</v>
      </c>
      <c r="E1178" s="2" t="e">
        <f t="shared" si="71"/>
        <v>#DIV/0!</v>
      </c>
      <c r="F1178" s="13"/>
      <c r="G1178" s="48"/>
      <c r="H1178" s="20"/>
      <c r="I1178" s="21"/>
    </row>
    <row r="1179" spans="1:9">
      <c r="A1179" s="8"/>
      <c r="B1179" s="19"/>
      <c r="C1179" s="19"/>
      <c r="D1179" s="17">
        <f t="shared" si="70"/>
        <v>0</v>
      </c>
      <c r="E1179" s="2" t="e">
        <f t="shared" si="71"/>
        <v>#DIV/0!</v>
      </c>
      <c r="F1179" s="13"/>
      <c r="G1179" s="48"/>
      <c r="H1179" s="20"/>
      <c r="I1179" s="21"/>
    </row>
    <row r="1180" spans="1:9">
      <c r="A1180" s="8"/>
      <c r="B1180" s="19"/>
      <c r="C1180" s="19"/>
      <c r="D1180" s="17">
        <f t="shared" si="70"/>
        <v>0</v>
      </c>
      <c r="E1180" s="2" t="e">
        <f t="shared" si="71"/>
        <v>#DIV/0!</v>
      </c>
      <c r="F1180" s="13"/>
      <c r="G1180" s="48"/>
      <c r="H1180" s="20"/>
      <c r="I1180" s="21"/>
    </row>
    <row r="1181" spans="1:9">
      <c r="A1181" s="8"/>
      <c r="B1181" s="19"/>
      <c r="C1181" s="19"/>
      <c r="D1181" s="17">
        <f t="shared" si="70"/>
        <v>0</v>
      </c>
      <c r="E1181" s="2" t="e">
        <f t="shared" si="71"/>
        <v>#DIV/0!</v>
      </c>
      <c r="F1181" s="13"/>
      <c r="G1181" s="48"/>
      <c r="H1181" s="20"/>
      <c r="I1181" s="21"/>
    </row>
    <row r="1182" spans="1:9">
      <c r="A1182" s="8"/>
      <c r="B1182" s="19"/>
      <c r="C1182" s="19"/>
      <c r="D1182" s="17">
        <f t="shared" si="70"/>
        <v>0</v>
      </c>
      <c r="E1182" s="2" t="e">
        <f t="shared" si="71"/>
        <v>#DIV/0!</v>
      </c>
      <c r="F1182" s="13"/>
      <c r="G1182" s="48"/>
      <c r="H1182" s="20"/>
      <c r="I1182" s="21"/>
    </row>
    <row r="1183" spans="1:9">
      <c r="A1183" s="8"/>
      <c r="B1183" s="19"/>
      <c r="C1183" s="19"/>
      <c r="D1183" s="17">
        <f t="shared" si="70"/>
        <v>0</v>
      </c>
      <c r="E1183" s="2" t="e">
        <f t="shared" si="71"/>
        <v>#DIV/0!</v>
      </c>
      <c r="F1183" s="13"/>
      <c r="G1183" s="48"/>
      <c r="H1183" s="20"/>
      <c r="I1183" s="21"/>
    </row>
    <row r="1184" spans="1:9">
      <c r="A1184" s="8"/>
      <c r="B1184" s="19"/>
      <c r="C1184" s="19"/>
      <c r="D1184" s="17">
        <f t="shared" si="70"/>
        <v>0</v>
      </c>
      <c r="E1184" s="2" t="e">
        <f t="shared" si="71"/>
        <v>#DIV/0!</v>
      </c>
      <c r="F1184" s="13"/>
      <c r="G1184" s="48"/>
      <c r="H1184" s="20"/>
      <c r="I1184" s="21"/>
    </row>
    <row r="1185" spans="1:9">
      <c r="A1185" s="8"/>
      <c r="B1185" s="19"/>
      <c r="C1185" s="19"/>
      <c r="D1185" s="17">
        <f t="shared" si="70"/>
        <v>0</v>
      </c>
      <c r="E1185" s="2" t="e">
        <f t="shared" si="71"/>
        <v>#DIV/0!</v>
      </c>
      <c r="F1185" s="13"/>
      <c r="G1185" s="48"/>
      <c r="H1185" s="20"/>
      <c r="I1185" s="21"/>
    </row>
    <row r="1186" spans="1:9">
      <c r="A1186" s="8"/>
      <c r="B1186" s="19"/>
      <c r="C1186" s="19"/>
      <c r="D1186" s="17">
        <f t="shared" si="70"/>
        <v>0</v>
      </c>
      <c r="E1186" s="2" t="e">
        <f t="shared" si="71"/>
        <v>#DIV/0!</v>
      </c>
      <c r="F1186" s="13"/>
      <c r="G1186" s="48"/>
      <c r="H1186" s="20"/>
      <c r="I1186" s="21"/>
    </row>
    <row r="1187" spans="1:9">
      <c r="A1187" s="8"/>
      <c r="B1187" s="19"/>
      <c r="C1187" s="19"/>
      <c r="D1187" s="17">
        <f t="shared" si="70"/>
        <v>0</v>
      </c>
      <c r="E1187" s="2" t="e">
        <f t="shared" si="71"/>
        <v>#DIV/0!</v>
      </c>
      <c r="F1187" s="13"/>
      <c r="G1187" s="48"/>
      <c r="H1187" s="20"/>
      <c r="I1187" s="21"/>
    </row>
    <row r="1188" spans="1:9">
      <c r="A1188" s="8"/>
      <c r="B1188" s="19"/>
      <c r="C1188" s="19"/>
      <c r="D1188" s="17">
        <f t="shared" si="70"/>
        <v>0</v>
      </c>
      <c r="E1188" s="2" t="e">
        <f t="shared" si="71"/>
        <v>#DIV/0!</v>
      </c>
      <c r="F1188" s="13"/>
      <c r="G1188" s="48"/>
      <c r="H1188" s="20"/>
      <c r="I1188" s="21"/>
    </row>
    <row r="1189" spans="1:9">
      <c r="A1189" s="8"/>
      <c r="B1189" s="19"/>
      <c r="C1189" s="19"/>
      <c r="D1189" s="17">
        <f t="shared" si="70"/>
        <v>0</v>
      </c>
      <c r="E1189" s="2" t="e">
        <f t="shared" si="71"/>
        <v>#DIV/0!</v>
      </c>
      <c r="F1189" s="13"/>
      <c r="G1189" s="48"/>
      <c r="H1189" s="20"/>
      <c r="I1189" s="21"/>
    </row>
    <row r="1190" spans="1:9">
      <c r="A1190" s="8"/>
      <c r="B1190" s="19"/>
      <c r="C1190" s="19"/>
      <c r="D1190" s="17">
        <f t="shared" si="70"/>
        <v>0</v>
      </c>
      <c r="E1190" s="2" t="e">
        <f t="shared" si="71"/>
        <v>#DIV/0!</v>
      </c>
      <c r="F1190" s="13"/>
      <c r="G1190" s="48"/>
      <c r="H1190" s="20"/>
      <c r="I1190" s="21"/>
    </row>
    <row r="1191" spans="1:9">
      <c r="A1191" s="8"/>
      <c r="B1191" s="19"/>
      <c r="C1191" s="19"/>
      <c r="D1191" s="17">
        <f t="shared" si="70"/>
        <v>0</v>
      </c>
      <c r="E1191" s="2" t="e">
        <f t="shared" si="71"/>
        <v>#DIV/0!</v>
      </c>
      <c r="F1191" s="13"/>
      <c r="G1191" s="48"/>
      <c r="H1191" s="20"/>
      <c r="I1191" s="21"/>
    </row>
    <row r="1192" spans="1:9">
      <c r="A1192" s="8"/>
      <c r="B1192" s="19"/>
      <c r="C1192" s="19"/>
      <c r="D1192" s="17">
        <f t="shared" si="70"/>
        <v>0</v>
      </c>
      <c r="E1192" s="2" t="e">
        <f t="shared" si="71"/>
        <v>#DIV/0!</v>
      </c>
      <c r="F1192" s="13"/>
      <c r="G1192" s="48"/>
      <c r="H1192" s="20"/>
      <c r="I1192" s="21"/>
    </row>
    <row r="1193" spans="1:9">
      <c r="A1193" s="8"/>
      <c r="B1193" s="19"/>
      <c r="C1193" s="19"/>
      <c r="D1193" s="17">
        <f t="shared" si="70"/>
        <v>0</v>
      </c>
      <c r="E1193" s="2" t="e">
        <f t="shared" si="71"/>
        <v>#DIV/0!</v>
      </c>
      <c r="F1193" s="13"/>
      <c r="G1193" s="48"/>
      <c r="H1193" s="20"/>
      <c r="I1193" s="21"/>
    </row>
    <row r="1194" spans="1:9">
      <c r="A1194" s="8"/>
      <c r="B1194" s="19"/>
      <c r="C1194" s="19"/>
      <c r="D1194" s="17">
        <f t="shared" si="70"/>
        <v>0</v>
      </c>
      <c r="E1194" s="2" t="e">
        <f t="shared" si="71"/>
        <v>#DIV/0!</v>
      </c>
      <c r="F1194" s="13"/>
      <c r="G1194" s="48"/>
      <c r="H1194" s="20"/>
      <c r="I1194" s="21"/>
    </row>
    <row r="1195" spans="1:9">
      <c r="A1195" s="8"/>
      <c r="B1195" s="19"/>
      <c r="C1195" s="19"/>
      <c r="D1195" s="17">
        <f t="shared" si="70"/>
        <v>0</v>
      </c>
      <c r="E1195" s="2" t="e">
        <f t="shared" si="71"/>
        <v>#DIV/0!</v>
      </c>
      <c r="F1195" s="13"/>
      <c r="G1195" s="48"/>
      <c r="H1195" s="20"/>
      <c r="I1195" s="21"/>
    </row>
    <row r="1196" spans="1:9">
      <c r="A1196" s="8"/>
      <c r="B1196" s="19"/>
      <c r="C1196" s="19"/>
      <c r="D1196" s="17">
        <f t="shared" si="70"/>
        <v>0</v>
      </c>
      <c r="E1196" s="2" t="e">
        <f t="shared" si="71"/>
        <v>#DIV/0!</v>
      </c>
      <c r="F1196" s="13"/>
      <c r="G1196" s="48"/>
      <c r="H1196" s="20"/>
      <c r="I1196" s="21"/>
    </row>
    <row r="1197" spans="1:9">
      <c r="A1197" s="8"/>
      <c r="B1197" s="19"/>
      <c r="C1197" s="19"/>
      <c r="D1197" s="17">
        <f t="shared" si="70"/>
        <v>0</v>
      </c>
      <c r="E1197" s="2" t="e">
        <f t="shared" si="71"/>
        <v>#DIV/0!</v>
      </c>
      <c r="F1197" s="13"/>
      <c r="G1197" s="48"/>
      <c r="H1197" s="20"/>
      <c r="I1197" s="21"/>
    </row>
    <row r="1198" spans="1:9">
      <c r="A1198" s="8"/>
      <c r="B1198" s="19"/>
      <c r="C1198" s="19"/>
      <c r="D1198" s="17">
        <f t="shared" si="70"/>
        <v>0</v>
      </c>
      <c r="E1198" s="2" t="e">
        <f t="shared" si="71"/>
        <v>#DIV/0!</v>
      </c>
      <c r="F1198" s="13"/>
      <c r="G1198" s="48"/>
      <c r="H1198" s="20"/>
      <c r="I1198" s="21"/>
    </row>
    <row r="1199" spans="1:9">
      <c r="A1199" s="8"/>
      <c r="B1199" s="19"/>
      <c r="C1199" s="19"/>
      <c r="D1199" s="17">
        <f t="shared" si="70"/>
        <v>0</v>
      </c>
      <c r="E1199" s="2" t="e">
        <f t="shared" si="71"/>
        <v>#DIV/0!</v>
      </c>
      <c r="F1199" s="13"/>
      <c r="G1199" s="48"/>
      <c r="H1199" s="20"/>
      <c r="I1199" s="21"/>
    </row>
    <row r="1200" spans="1:9">
      <c r="A1200" s="8"/>
      <c r="B1200" s="19"/>
      <c r="C1200" s="19"/>
      <c r="D1200" s="17">
        <f t="shared" si="70"/>
        <v>0</v>
      </c>
      <c r="E1200" s="2" t="e">
        <f t="shared" si="71"/>
        <v>#DIV/0!</v>
      </c>
      <c r="F1200" s="13"/>
      <c r="G1200" s="48"/>
      <c r="H1200" s="20"/>
      <c r="I1200" s="21"/>
    </row>
    <row r="1201" spans="1:9">
      <c r="A1201" s="8"/>
      <c r="B1201" s="19"/>
      <c r="C1201" s="19"/>
      <c r="D1201" s="17">
        <f t="shared" si="70"/>
        <v>0</v>
      </c>
      <c r="E1201" s="2" t="e">
        <f t="shared" si="71"/>
        <v>#DIV/0!</v>
      </c>
      <c r="F1201" s="13"/>
      <c r="G1201" s="48"/>
      <c r="H1201" s="20"/>
      <c r="I1201" s="21"/>
    </row>
    <row r="1202" spans="1:9">
      <c r="A1202" s="8"/>
      <c r="B1202" s="19"/>
      <c r="C1202" s="19"/>
      <c r="D1202" s="17">
        <f t="shared" si="70"/>
        <v>0</v>
      </c>
      <c r="E1202" s="2" t="e">
        <f t="shared" si="71"/>
        <v>#DIV/0!</v>
      </c>
      <c r="F1202" s="13"/>
      <c r="G1202" s="48"/>
      <c r="H1202" s="20"/>
      <c r="I1202" s="21"/>
    </row>
    <row r="1203" spans="1:9">
      <c r="A1203" s="8"/>
      <c r="B1203" s="19"/>
      <c r="C1203" s="19"/>
      <c r="D1203" s="17">
        <f t="shared" ref="D1203:D1266" si="72">B1203-C1203</f>
        <v>0</v>
      </c>
      <c r="E1203" s="2" t="e">
        <f t="shared" ref="E1203:E1266" si="73">(B1203-C1203)/C1203</f>
        <v>#DIV/0!</v>
      </c>
      <c r="F1203" s="13"/>
      <c r="G1203" s="48"/>
      <c r="H1203" s="20"/>
      <c r="I1203" s="21"/>
    </row>
    <row r="1204" spans="1:9">
      <c r="A1204" s="8"/>
      <c r="B1204" s="19"/>
      <c r="C1204" s="19"/>
      <c r="D1204" s="17">
        <f t="shared" si="72"/>
        <v>0</v>
      </c>
      <c r="E1204" s="2" t="e">
        <f t="shared" si="73"/>
        <v>#DIV/0!</v>
      </c>
      <c r="F1204" s="13"/>
      <c r="G1204" s="48"/>
      <c r="H1204" s="20"/>
      <c r="I1204" s="21"/>
    </row>
    <row r="1205" spans="1:9">
      <c r="A1205" s="8"/>
      <c r="B1205" s="19"/>
      <c r="C1205" s="19"/>
      <c r="D1205" s="17">
        <f t="shared" si="72"/>
        <v>0</v>
      </c>
      <c r="E1205" s="2" t="e">
        <f t="shared" si="73"/>
        <v>#DIV/0!</v>
      </c>
      <c r="F1205" s="13"/>
      <c r="G1205" s="48"/>
      <c r="H1205" s="20"/>
      <c r="I1205" s="21"/>
    </row>
    <row r="1206" spans="1:9">
      <c r="A1206" s="8"/>
      <c r="B1206" s="19"/>
      <c r="C1206" s="19"/>
      <c r="D1206" s="17">
        <f t="shared" si="72"/>
        <v>0</v>
      </c>
      <c r="E1206" s="2" t="e">
        <f t="shared" si="73"/>
        <v>#DIV/0!</v>
      </c>
      <c r="F1206" s="13"/>
      <c r="G1206" s="48"/>
      <c r="H1206" s="20"/>
      <c r="I1206" s="21"/>
    </row>
    <row r="1207" spans="1:9">
      <c r="A1207" s="8"/>
      <c r="B1207" s="19"/>
      <c r="C1207" s="19"/>
      <c r="D1207" s="17">
        <f t="shared" si="72"/>
        <v>0</v>
      </c>
      <c r="E1207" s="2" t="e">
        <f t="shared" si="73"/>
        <v>#DIV/0!</v>
      </c>
      <c r="F1207" s="13"/>
      <c r="G1207" s="48"/>
      <c r="H1207" s="20"/>
      <c r="I1207" s="21"/>
    </row>
    <row r="1208" spans="1:9">
      <c r="A1208" s="8"/>
      <c r="B1208" s="19"/>
      <c r="C1208" s="19"/>
      <c r="D1208" s="17">
        <f t="shared" si="72"/>
        <v>0</v>
      </c>
      <c r="E1208" s="2" t="e">
        <f t="shared" si="73"/>
        <v>#DIV/0!</v>
      </c>
      <c r="F1208" s="13"/>
      <c r="G1208" s="48"/>
      <c r="H1208" s="20"/>
      <c r="I1208" s="21"/>
    </row>
    <row r="1209" spans="1:9">
      <c r="A1209" s="8"/>
      <c r="B1209" s="19"/>
      <c r="C1209" s="19"/>
      <c r="D1209" s="17">
        <f t="shared" si="72"/>
        <v>0</v>
      </c>
      <c r="E1209" s="2" t="e">
        <f t="shared" si="73"/>
        <v>#DIV/0!</v>
      </c>
      <c r="F1209" s="13"/>
      <c r="G1209" s="48"/>
      <c r="H1209" s="20"/>
      <c r="I1209" s="21"/>
    </row>
    <row r="1210" spans="1:9">
      <c r="A1210" s="8"/>
      <c r="B1210" s="19"/>
      <c r="C1210" s="19"/>
      <c r="D1210" s="17">
        <f t="shared" si="72"/>
        <v>0</v>
      </c>
      <c r="E1210" s="2" t="e">
        <f t="shared" si="73"/>
        <v>#DIV/0!</v>
      </c>
      <c r="F1210" s="13"/>
      <c r="G1210" s="48"/>
      <c r="H1210" s="20"/>
      <c r="I1210" s="21"/>
    </row>
    <row r="1211" spans="1:9">
      <c r="A1211" s="8"/>
      <c r="B1211" s="19"/>
      <c r="C1211" s="19"/>
      <c r="D1211" s="17">
        <f t="shared" si="72"/>
        <v>0</v>
      </c>
      <c r="E1211" s="2" t="e">
        <f t="shared" si="73"/>
        <v>#DIV/0!</v>
      </c>
      <c r="F1211" s="13"/>
      <c r="G1211" s="48"/>
      <c r="H1211" s="20"/>
      <c r="I1211" s="21"/>
    </row>
    <row r="1212" spans="1:9">
      <c r="A1212" s="8"/>
      <c r="B1212" s="19"/>
      <c r="C1212" s="19"/>
      <c r="D1212" s="17">
        <f t="shared" si="72"/>
        <v>0</v>
      </c>
      <c r="E1212" s="2" t="e">
        <f t="shared" si="73"/>
        <v>#DIV/0!</v>
      </c>
      <c r="F1212" s="13"/>
      <c r="G1212" s="48"/>
      <c r="H1212" s="20"/>
      <c r="I1212" s="21"/>
    </row>
    <row r="1213" spans="1:9">
      <c r="A1213" s="8"/>
      <c r="B1213" s="19"/>
      <c r="C1213" s="19"/>
      <c r="D1213" s="17">
        <f t="shared" si="72"/>
        <v>0</v>
      </c>
      <c r="E1213" s="2" t="e">
        <f t="shared" si="73"/>
        <v>#DIV/0!</v>
      </c>
      <c r="F1213" s="13"/>
      <c r="G1213" s="48"/>
      <c r="H1213" s="20"/>
      <c r="I1213" s="21"/>
    </row>
    <row r="1214" spans="1:9">
      <c r="A1214" s="8"/>
      <c r="B1214" s="19"/>
      <c r="C1214" s="19"/>
      <c r="D1214" s="17">
        <f t="shared" si="72"/>
        <v>0</v>
      </c>
      <c r="E1214" s="2" t="e">
        <f t="shared" si="73"/>
        <v>#DIV/0!</v>
      </c>
      <c r="F1214" s="13"/>
      <c r="G1214" s="48"/>
      <c r="H1214" s="20"/>
      <c r="I1214" s="21"/>
    </row>
    <row r="1215" spans="1:9">
      <c r="A1215" s="8"/>
      <c r="B1215" s="19"/>
      <c r="C1215" s="19"/>
      <c r="D1215" s="17">
        <f t="shared" si="72"/>
        <v>0</v>
      </c>
      <c r="E1215" s="2" t="e">
        <f t="shared" si="73"/>
        <v>#DIV/0!</v>
      </c>
      <c r="F1215" s="13"/>
      <c r="G1215" s="48"/>
      <c r="H1215" s="20"/>
      <c r="I1215" s="21"/>
    </row>
    <row r="1216" spans="1:9">
      <c r="A1216" s="8"/>
      <c r="B1216" s="19"/>
      <c r="C1216" s="19"/>
      <c r="D1216" s="17">
        <f t="shared" si="72"/>
        <v>0</v>
      </c>
      <c r="E1216" s="2" t="e">
        <f t="shared" si="73"/>
        <v>#DIV/0!</v>
      </c>
      <c r="F1216" s="13"/>
      <c r="G1216" s="48"/>
      <c r="H1216" s="20"/>
      <c r="I1216" s="21"/>
    </row>
    <row r="1217" spans="1:9">
      <c r="A1217" s="8"/>
      <c r="B1217" s="19"/>
      <c r="C1217" s="19"/>
      <c r="D1217" s="17">
        <f t="shared" si="72"/>
        <v>0</v>
      </c>
      <c r="E1217" s="2" t="e">
        <f t="shared" si="73"/>
        <v>#DIV/0!</v>
      </c>
      <c r="F1217" s="13"/>
      <c r="G1217" s="48"/>
      <c r="H1217" s="20"/>
      <c r="I1217" s="21"/>
    </row>
    <row r="1218" spans="1:9">
      <c r="A1218" s="8"/>
      <c r="B1218" s="19"/>
      <c r="C1218" s="19"/>
      <c r="D1218" s="17">
        <f t="shared" si="72"/>
        <v>0</v>
      </c>
      <c r="E1218" s="2" t="e">
        <f t="shared" si="73"/>
        <v>#DIV/0!</v>
      </c>
      <c r="F1218" s="13"/>
      <c r="G1218" s="48"/>
      <c r="H1218" s="20"/>
      <c r="I1218" s="21"/>
    </row>
    <row r="1219" spans="1:9">
      <c r="A1219" s="8"/>
      <c r="B1219" s="19"/>
      <c r="C1219" s="19"/>
      <c r="D1219" s="17">
        <f t="shared" si="72"/>
        <v>0</v>
      </c>
      <c r="E1219" s="2" t="e">
        <f t="shared" si="73"/>
        <v>#DIV/0!</v>
      </c>
      <c r="F1219" s="13"/>
      <c r="G1219" s="48"/>
      <c r="H1219" s="20"/>
      <c r="I1219" s="21"/>
    </row>
    <row r="1220" spans="1:9">
      <c r="A1220" s="8"/>
      <c r="B1220" s="19"/>
      <c r="C1220" s="19"/>
      <c r="D1220" s="17">
        <f t="shared" si="72"/>
        <v>0</v>
      </c>
      <c r="E1220" s="2" t="e">
        <f t="shared" si="73"/>
        <v>#DIV/0!</v>
      </c>
      <c r="F1220" s="13"/>
      <c r="G1220" s="48"/>
      <c r="H1220" s="20"/>
      <c r="I1220" s="21"/>
    </row>
    <row r="1221" spans="1:9">
      <c r="A1221" s="8"/>
      <c r="B1221" s="19"/>
      <c r="C1221" s="19"/>
      <c r="D1221" s="17">
        <f t="shared" si="72"/>
        <v>0</v>
      </c>
      <c r="E1221" s="2" t="e">
        <f t="shared" si="73"/>
        <v>#DIV/0!</v>
      </c>
      <c r="F1221" s="13"/>
      <c r="G1221" s="48"/>
      <c r="H1221" s="20"/>
      <c r="I1221" s="21"/>
    </row>
    <row r="1222" spans="1:9">
      <c r="A1222" s="8"/>
      <c r="B1222" s="19"/>
      <c r="C1222" s="19"/>
      <c r="D1222" s="17">
        <f t="shared" si="72"/>
        <v>0</v>
      </c>
      <c r="E1222" s="2" t="e">
        <f t="shared" si="73"/>
        <v>#DIV/0!</v>
      </c>
      <c r="F1222" s="13"/>
      <c r="G1222" s="48"/>
      <c r="H1222" s="20"/>
      <c r="I1222" s="21"/>
    </row>
    <row r="1223" spans="1:9">
      <c r="A1223" s="8"/>
      <c r="B1223" s="19"/>
      <c r="C1223" s="19"/>
      <c r="D1223" s="17">
        <f t="shared" si="72"/>
        <v>0</v>
      </c>
      <c r="E1223" s="2" t="e">
        <f t="shared" si="73"/>
        <v>#DIV/0!</v>
      </c>
      <c r="F1223" s="13"/>
      <c r="G1223" s="48"/>
      <c r="H1223" s="20"/>
      <c r="I1223" s="21"/>
    </row>
    <row r="1224" spans="1:9">
      <c r="A1224" s="8"/>
      <c r="B1224" s="19"/>
      <c r="C1224" s="19"/>
      <c r="D1224" s="17">
        <f t="shared" si="72"/>
        <v>0</v>
      </c>
      <c r="E1224" s="2" t="e">
        <f t="shared" si="73"/>
        <v>#DIV/0!</v>
      </c>
      <c r="F1224" s="13"/>
      <c r="G1224" s="48"/>
      <c r="H1224" s="20"/>
      <c r="I1224" s="21"/>
    </row>
    <row r="1225" spans="1:9">
      <c r="A1225" s="8"/>
      <c r="B1225" s="19"/>
      <c r="C1225" s="19"/>
      <c r="D1225" s="17">
        <f t="shared" si="72"/>
        <v>0</v>
      </c>
      <c r="E1225" s="2" t="e">
        <f t="shared" si="73"/>
        <v>#DIV/0!</v>
      </c>
      <c r="F1225" s="13"/>
      <c r="G1225" s="48"/>
      <c r="H1225" s="20"/>
      <c r="I1225" s="21"/>
    </row>
    <row r="1226" spans="1:9">
      <c r="A1226" s="8"/>
      <c r="B1226" s="19"/>
      <c r="C1226" s="19"/>
      <c r="D1226" s="17">
        <f t="shared" si="72"/>
        <v>0</v>
      </c>
      <c r="E1226" s="2" t="e">
        <f t="shared" si="73"/>
        <v>#DIV/0!</v>
      </c>
      <c r="F1226" s="13"/>
      <c r="G1226" s="48"/>
      <c r="H1226" s="20"/>
      <c r="I1226" s="21"/>
    </row>
    <row r="1227" spans="1:9">
      <c r="A1227" s="8"/>
      <c r="B1227" s="19"/>
      <c r="C1227" s="19"/>
      <c r="D1227" s="17">
        <f t="shared" si="72"/>
        <v>0</v>
      </c>
      <c r="E1227" s="2" t="e">
        <f t="shared" si="73"/>
        <v>#DIV/0!</v>
      </c>
      <c r="F1227" s="13"/>
      <c r="G1227" s="48"/>
      <c r="H1227" s="20"/>
      <c r="I1227" s="21"/>
    </row>
    <row r="1228" spans="1:9">
      <c r="A1228" s="8"/>
      <c r="B1228" s="19"/>
      <c r="C1228" s="19"/>
      <c r="D1228" s="17">
        <f t="shared" si="72"/>
        <v>0</v>
      </c>
      <c r="E1228" s="2" t="e">
        <f t="shared" si="73"/>
        <v>#DIV/0!</v>
      </c>
      <c r="F1228" s="13"/>
      <c r="G1228" s="48"/>
      <c r="H1228" s="20"/>
      <c r="I1228" s="21"/>
    </row>
    <row r="1229" spans="1:9">
      <c r="A1229" s="8"/>
      <c r="B1229" s="19"/>
      <c r="C1229" s="19"/>
      <c r="D1229" s="17">
        <f t="shared" si="72"/>
        <v>0</v>
      </c>
      <c r="E1229" s="2" t="e">
        <f t="shared" si="73"/>
        <v>#DIV/0!</v>
      </c>
      <c r="F1229" s="13"/>
      <c r="G1229" s="48"/>
      <c r="H1229" s="20"/>
      <c r="I1229" s="21"/>
    </row>
    <row r="1230" spans="1:9">
      <c r="A1230" s="8"/>
      <c r="B1230" s="19"/>
      <c r="C1230" s="19"/>
      <c r="D1230" s="17">
        <f t="shared" si="72"/>
        <v>0</v>
      </c>
      <c r="E1230" s="2" t="e">
        <f t="shared" si="73"/>
        <v>#DIV/0!</v>
      </c>
      <c r="F1230" s="13"/>
      <c r="G1230" s="48"/>
      <c r="H1230" s="20"/>
      <c r="I1230" s="21"/>
    </row>
    <row r="1231" spans="1:9">
      <c r="A1231" s="8"/>
      <c r="B1231" s="19"/>
      <c r="C1231" s="19"/>
      <c r="D1231" s="17">
        <f t="shared" si="72"/>
        <v>0</v>
      </c>
      <c r="E1231" s="2" t="e">
        <f t="shared" si="73"/>
        <v>#DIV/0!</v>
      </c>
      <c r="F1231" s="13"/>
      <c r="G1231" s="48"/>
      <c r="H1231" s="20"/>
      <c r="I1231" s="21"/>
    </row>
    <row r="1232" spans="1:9">
      <c r="A1232" s="8"/>
      <c r="B1232" s="19"/>
      <c r="C1232" s="19"/>
      <c r="D1232" s="17">
        <f t="shared" si="72"/>
        <v>0</v>
      </c>
      <c r="E1232" s="2" t="e">
        <f t="shared" si="73"/>
        <v>#DIV/0!</v>
      </c>
      <c r="F1232" s="13"/>
      <c r="G1232" s="48"/>
      <c r="H1232" s="20"/>
      <c r="I1232" s="21"/>
    </row>
    <row r="1233" spans="1:9">
      <c r="A1233" s="8"/>
      <c r="B1233" s="19"/>
      <c r="C1233" s="19"/>
      <c r="D1233" s="17">
        <f t="shared" si="72"/>
        <v>0</v>
      </c>
      <c r="E1233" s="2" t="e">
        <f t="shared" si="73"/>
        <v>#DIV/0!</v>
      </c>
      <c r="F1233" s="13"/>
      <c r="G1233" s="48"/>
      <c r="H1233" s="20"/>
      <c r="I1233" s="21"/>
    </row>
    <row r="1234" spans="1:9">
      <c r="A1234" s="8"/>
      <c r="B1234" s="19"/>
      <c r="C1234" s="19"/>
      <c r="D1234" s="17">
        <f t="shared" si="72"/>
        <v>0</v>
      </c>
      <c r="E1234" s="2" t="e">
        <f t="shared" si="73"/>
        <v>#DIV/0!</v>
      </c>
      <c r="F1234" s="13"/>
      <c r="G1234" s="48"/>
      <c r="H1234" s="20"/>
      <c r="I1234" s="21"/>
    </row>
    <row r="1235" spans="1:9">
      <c r="A1235" s="8"/>
      <c r="B1235" s="19"/>
      <c r="C1235" s="19"/>
      <c r="D1235" s="17">
        <f t="shared" si="72"/>
        <v>0</v>
      </c>
      <c r="E1235" s="2" t="e">
        <f t="shared" si="73"/>
        <v>#DIV/0!</v>
      </c>
      <c r="F1235" s="13"/>
      <c r="G1235" s="48"/>
      <c r="H1235" s="20"/>
      <c r="I1235" s="21"/>
    </row>
    <row r="1236" spans="1:9">
      <c r="A1236" s="8"/>
      <c r="B1236" s="19"/>
      <c r="C1236" s="19"/>
      <c r="D1236" s="17">
        <f t="shared" si="72"/>
        <v>0</v>
      </c>
      <c r="E1236" s="2" t="e">
        <f t="shared" si="73"/>
        <v>#DIV/0!</v>
      </c>
      <c r="F1236" s="13"/>
      <c r="G1236" s="48"/>
      <c r="H1236" s="20"/>
      <c r="I1236" s="21"/>
    </row>
    <row r="1237" spans="1:9">
      <c r="A1237" s="8"/>
      <c r="B1237" s="19"/>
      <c r="C1237" s="19"/>
      <c r="D1237" s="17">
        <f t="shared" si="72"/>
        <v>0</v>
      </c>
      <c r="E1237" s="2" t="e">
        <f t="shared" si="73"/>
        <v>#DIV/0!</v>
      </c>
      <c r="F1237" s="13"/>
      <c r="G1237" s="48"/>
      <c r="H1237" s="20"/>
      <c r="I1237" s="21"/>
    </row>
    <row r="1238" spans="1:9">
      <c r="A1238" s="8"/>
      <c r="B1238" s="19"/>
      <c r="C1238" s="19"/>
      <c r="D1238" s="17">
        <f t="shared" si="72"/>
        <v>0</v>
      </c>
      <c r="E1238" s="2" t="e">
        <f t="shared" si="73"/>
        <v>#DIV/0!</v>
      </c>
      <c r="F1238" s="13"/>
      <c r="G1238" s="48"/>
      <c r="H1238" s="20"/>
      <c r="I1238" s="21"/>
    </row>
    <row r="1239" spans="1:9">
      <c r="A1239" s="8"/>
      <c r="B1239" s="19"/>
      <c r="C1239" s="19"/>
      <c r="D1239" s="17">
        <f t="shared" si="72"/>
        <v>0</v>
      </c>
      <c r="E1239" s="2" t="e">
        <f t="shared" si="73"/>
        <v>#DIV/0!</v>
      </c>
      <c r="F1239" s="13"/>
      <c r="G1239" s="48"/>
      <c r="H1239" s="20"/>
      <c r="I1239" s="21"/>
    </row>
    <row r="1240" spans="1:9">
      <c r="A1240" s="8"/>
      <c r="B1240" s="19"/>
      <c r="C1240" s="19"/>
      <c r="D1240" s="17">
        <f t="shared" si="72"/>
        <v>0</v>
      </c>
      <c r="E1240" s="2" t="e">
        <f t="shared" si="73"/>
        <v>#DIV/0!</v>
      </c>
      <c r="F1240" s="13"/>
      <c r="G1240" s="48"/>
      <c r="H1240" s="20"/>
      <c r="I1240" s="21"/>
    </row>
    <row r="1241" spans="1:9">
      <c r="A1241" s="8"/>
      <c r="B1241" s="19"/>
      <c r="C1241" s="19"/>
      <c r="D1241" s="17">
        <f t="shared" si="72"/>
        <v>0</v>
      </c>
      <c r="E1241" s="2" t="e">
        <f t="shared" si="73"/>
        <v>#DIV/0!</v>
      </c>
      <c r="F1241" s="13"/>
      <c r="G1241" s="48"/>
      <c r="H1241" s="20"/>
      <c r="I1241" s="21"/>
    </row>
    <row r="1242" spans="1:9">
      <c r="A1242" s="8"/>
      <c r="B1242" s="19"/>
      <c r="C1242" s="19"/>
      <c r="D1242" s="17">
        <f t="shared" si="72"/>
        <v>0</v>
      </c>
      <c r="E1242" s="2" t="e">
        <f t="shared" si="73"/>
        <v>#DIV/0!</v>
      </c>
      <c r="F1242" s="13"/>
      <c r="G1242" s="48"/>
      <c r="H1242" s="20"/>
      <c r="I1242" s="21"/>
    </row>
    <row r="1243" spans="1:9">
      <c r="A1243" s="8"/>
      <c r="B1243" s="19"/>
      <c r="C1243" s="19"/>
      <c r="D1243" s="17">
        <f t="shared" si="72"/>
        <v>0</v>
      </c>
      <c r="E1243" s="2" t="e">
        <f t="shared" si="73"/>
        <v>#DIV/0!</v>
      </c>
      <c r="F1243" s="13"/>
      <c r="G1243" s="48"/>
      <c r="H1243" s="20"/>
      <c r="I1243" s="21"/>
    </row>
    <row r="1244" spans="1:9">
      <c r="A1244" s="8"/>
      <c r="B1244" s="19"/>
      <c r="C1244" s="19"/>
      <c r="D1244" s="17">
        <f t="shared" si="72"/>
        <v>0</v>
      </c>
      <c r="E1244" s="2" t="e">
        <f t="shared" si="73"/>
        <v>#DIV/0!</v>
      </c>
      <c r="F1244" s="13"/>
      <c r="G1244" s="48"/>
      <c r="H1244" s="20"/>
      <c r="I1244" s="21"/>
    </row>
    <row r="1245" spans="1:9">
      <c r="A1245" s="8"/>
      <c r="B1245" s="19"/>
      <c r="C1245" s="19"/>
      <c r="D1245" s="17">
        <f t="shared" si="72"/>
        <v>0</v>
      </c>
      <c r="E1245" s="2" t="e">
        <f t="shared" si="73"/>
        <v>#DIV/0!</v>
      </c>
      <c r="F1245" s="13"/>
      <c r="G1245" s="48"/>
      <c r="H1245" s="20"/>
      <c r="I1245" s="21"/>
    </row>
    <row r="1246" spans="1:9">
      <c r="A1246" s="8"/>
      <c r="B1246" s="19"/>
      <c r="C1246" s="19"/>
      <c r="D1246" s="17">
        <f t="shared" si="72"/>
        <v>0</v>
      </c>
      <c r="E1246" s="2" t="e">
        <f t="shared" si="73"/>
        <v>#DIV/0!</v>
      </c>
      <c r="F1246" s="13"/>
      <c r="G1246" s="48"/>
      <c r="H1246" s="20"/>
      <c r="I1246" s="21"/>
    </row>
    <row r="1247" spans="1:9">
      <c r="A1247" s="8"/>
      <c r="B1247" s="19"/>
      <c r="C1247" s="19"/>
      <c r="D1247" s="17">
        <f t="shared" si="72"/>
        <v>0</v>
      </c>
      <c r="E1247" s="2" t="e">
        <f t="shared" si="73"/>
        <v>#DIV/0!</v>
      </c>
      <c r="F1247" s="13"/>
      <c r="G1247" s="48"/>
      <c r="H1247" s="20"/>
      <c r="I1247" s="21"/>
    </row>
    <row r="1248" spans="1:9">
      <c r="A1248" s="8"/>
      <c r="B1248" s="19"/>
      <c r="C1248" s="19"/>
      <c r="D1248" s="17">
        <f t="shared" si="72"/>
        <v>0</v>
      </c>
      <c r="E1248" s="2" t="e">
        <f t="shared" si="73"/>
        <v>#DIV/0!</v>
      </c>
      <c r="F1248" s="13"/>
      <c r="G1248" s="48"/>
      <c r="H1248" s="20"/>
      <c r="I1248" s="21"/>
    </row>
    <row r="1249" spans="1:9">
      <c r="A1249" s="8"/>
      <c r="B1249" s="19"/>
      <c r="C1249" s="19"/>
      <c r="D1249" s="17">
        <f t="shared" si="72"/>
        <v>0</v>
      </c>
      <c r="E1249" s="2" t="e">
        <f t="shared" si="73"/>
        <v>#DIV/0!</v>
      </c>
      <c r="F1249" s="13"/>
      <c r="G1249" s="48"/>
      <c r="H1249" s="20"/>
      <c r="I1249" s="21"/>
    </row>
    <row r="1250" spans="1:9">
      <c r="A1250" s="8"/>
      <c r="B1250" s="19"/>
      <c r="C1250" s="19"/>
      <c r="D1250" s="17">
        <f t="shared" si="72"/>
        <v>0</v>
      </c>
      <c r="E1250" s="2" t="e">
        <f t="shared" si="73"/>
        <v>#DIV/0!</v>
      </c>
      <c r="F1250" s="13"/>
      <c r="G1250" s="48"/>
      <c r="H1250" s="20"/>
      <c r="I1250" s="21"/>
    </row>
    <row r="1251" spans="1:9">
      <c r="A1251" s="8"/>
      <c r="B1251" s="19"/>
      <c r="C1251" s="19"/>
      <c r="D1251" s="17">
        <f t="shared" si="72"/>
        <v>0</v>
      </c>
      <c r="E1251" s="2" t="e">
        <f t="shared" si="73"/>
        <v>#DIV/0!</v>
      </c>
      <c r="F1251" s="13"/>
      <c r="G1251" s="48"/>
      <c r="H1251" s="20"/>
      <c r="I1251" s="21"/>
    </row>
    <row r="1252" spans="1:9">
      <c r="A1252" s="8"/>
      <c r="B1252" s="19"/>
      <c r="C1252" s="19"/>
      <c r="D1252" s="17">
        <f t="shared" si="72"/>
        <v>0</v>
      </c>
      <c r="E1252" s="2" t="e">
        <f t="shared" si="73"/>
        <v>#DIV/0!</v>
      </c>
      <c r="F1252" s="13"/>
      <c r="G1252" s="48"/>
      <c r="H1252" s="20"/>
      <c r="I1252" s="21"/>
    </row>
    <row r="1253" spans="1:9">
      <c r="A1253" s="8"/>
      <c r="B1253" s="19"/>
      <c r="C1253" s="19"/>
      <c r="D1253" s="17">
        <f t="shared" si="72"/>
        <v>0</v>
      </c>
      <c r="E1253" s="2" t="e">
        <f t="shared" si="73"/>
        <v>#DIV/0!</v>
      </c>
      <c r="F1253" s="13"/>
      <c r="G1253" s="48"/>
      <c r="H1253" s="20"/>
      <c r="I1253" s="21"/>
    </row>
    <row r="1254" spans="1:9">
      <c r="A1254" s="8"/>
      <c r="B1254" s="19"/>
      <c r="C1254" s="19"/>
      <c r="D1254" s="17">
        <f t="shared" si="72"/>
        <v>0</v>
      </c>
      <c r="E1254" s="2" t="e">
        <f t="shared" si="73"/>
        <v>#DIV/0!</v>
      </c>
      <c r="F1254" s="13"/>
      <c r="G1254" s="48"/>
      <c r="H1254" s="20"/>
      <c r="I1254" s="21"/>
    </row>
    <row r="1255" spans="1:9">
      <c r="A1255" s="8"/>
      <c r="B1255" s="19"/>
      <c r="C1255" s="19"/>
      <c r="D1255" s="17">
        <f t="shared" si="72"/>
        <v>0</v>
      </c>
      <c r="E1255" s="2" t="e">
        <f t="shared" si="73"/>
        <v>#DIV/0!</v>
      </c>
      <c r="F1255" s="13"/>
      <c r="G1255" s="48"/>
      <c r="H1255" s="20"/>
      <c r="I1255" s="21"/>
    </row>
    <row r="1256" spans="1:9">
      <c r="A1256" s="8"/>
      <c r="B1256" s="19"/>
      <c r="C1256" s="19"/>
      <c r="D1256" s="17">
        <f t="shared" si="72"/>
        <v>0</v>
      </c>
      <c r="E1256" s="2" t="e">
        <f t="shared" si="73"/>
        <v>#DIV/0!</v>
      </c>
      <c r="F1256" s="13"/>
      <c r="G1256" s="48"/>
      <c r="H1256" s="20"/>
      <c r="I1256" s="21"/>
    </row>
    <row r="1257" spans="1:9">
      <c r="A1257" s="8"/>
      <c r="B1257" s="19"/>
      <c r="C1257" s="19"/>
      <c r="D1257" s="17">
        <f t="shared" si="72"/>
        <v>0</v>
      </c>
      <c r="E1257" s="2" t="e">
        <f t="shared" si="73"/>
        <v>#DIV/0!</v>
      </c>
      <c r="F1257" s="13"/>
      <c r="G1257" s="48"/>
      <c r="H1257" s="20"/>
      <c r="I1257" s="21"/>
    </row>
    <row r="1258" spans="1:9">
      <c r="A1258" s="8"/>
      <c r="B1258" s="19"/>
      <c r="C1258" s="19"/>
      <c r="D1258" s="17">
        <f t="shared" si="72"/>
        <v>0</v>
      </c>
      <c r="E1258" s="2" t="e">
        <f t="shared" si="73"/>
        <v>#DIV/0!</v>
      </c>
      <c r="F1258" s="13"/>
      <c r="G1258" s="48"/>
      <c r="H1258" s="20"/>
      <c r="I1258" s="21"/>
    </row>
    <row r="1259" spans="1:9">
      <c r="A1259" s="8"/>
      <c r="B1259" s="19"/>
      <c r="C1259" s="19"/>
      <c r="D1259" s="17">
        <f t="shared" si="72"/>
        <v>0</v>
      </c>
      <c r="E1259" s="2" t="e">
        <f t="shared" si="73"/>
        <v>#DIV/0!</v>
      </c>
      <c r="F1259" s="13"/>
      <c r="G1259" s="48"/>
      <c r="H1259" s="20"/>
      <c r="I1259" s="21"/>
    </row>
    <row r="1260" spans="1:9">
      <c r="A1260" s="8"/>
      <c r="B1260" s="19"/>
      <c r="C1260" s="19"/>
      <c r="D1260" s="17">
        <f t="shared" si="72"/>
        <v>0</v>
      </c>
      <c r="E1260" s="2" t="e">
        <f t="shared" si="73"/>
        <v>#DIV/0!</v>
      </c>
      <c r="F1260" s="13"/>
      <c r="G1260" s="48"/>
      <c r="H1260" s="20"/>
      <c r="I1260" s="21"/>
    </row>
    <row r="1261" spans="1:9">
      <c r="A1261" s="8"/>
      <c r="B1261" s="19"/>
      <c r="C1261" s="19"/>
      <c r="D1261" s="17">
        <f t="shared" si="72"/>
        <v>0</v>
      </c>
      <c r="E1261" s="2" t="e">
        <f t="shared" si="73"/>
        <v>#DIV/0!</v>
      </c>
      <c r="F1261" s="13"/>
      <c r="G1261" s="48"/>
      <c r="H1261" s="20"/>
      <c r="I1261" s="21"/>
    </row>
    <row r="1262" spans="1:9">
      <c r="A1262" s="8"/>
      <c r="B1262" s="19"/>
      <c r="C1262" s="19"/>
      <c r="D1262" s="17">
        <f t="shared" si="72"/>
        <v>0</v>
      </c>
      <c r="E1262" s="2" t="e">
        <f t="shared" si="73"/>
        <v>#DIV/0!</v>
      </c>
      <c r="F1262" s="13"/>
      <c r="G1262" s="48"/>
      <c r="H1262" s="20"/>
      <c r="I1262" s="21"/>
    </row>
    <row r="1263" spans="1:9">
      <c r="A1263" s="8"/>
      <c r="B1263" s="19"/>
      <c r="C1263" s="19"/>
      <c r="D1263" s="17">
        <f t="shared" si="72"/>
        <v>0</v>
      </c>
      <c r="E1263" s="2" t="e">
        <f t="shared" si="73"/>
        <v>#DIV/0!</v>
      </c>
      <c r="F1263" s="13"/>
      <c r="G1263" s="48"/>
      <c r="H1263" s="20"/>
      <c r="I1263" s="21"/>
    </row>
    <row r="1264" spans="1:9">
      <c r="A1264" s="8"/>
      <c r="B1264" s="19"/>
      <c r="C1264" s="19"/>
      <c r="D1264" s="17">
        <f t="shared" si="72"/>
        <v>0</v>
      </c>
      <c r="E1264" s="2" t="e">
        <f t="shared" si="73"/>
        <v>#DIV/0!</v>
      </c>
      <c r="F1264" s="13"/>
      <c r="G1264" s="48"/>
      <c r="H1264" s="20"/>
      <c r="I1264" s="21"/>
    </row>
    <row r="1265" spans="1:9">
      <c r="A1265" s="8"/>
      <c r="B1265" s="19"/>
      <c r="C1265" s="19"/>
      <c r="D1265" s="17">
        <f t="shared" si="72"/>
        <v>0</v>
      </c>
      <c r="E1265" s="2" t="e">
        <f t="shared" si="73"/>
        <v>#DIV/0!</v>
      </c>
      <c r="F1265" s="13"/>
      <c r="G1265" s="48"/>
      <c r="H1265" s="20"/>
      <c r="I1265" s="21"/>
    </row>
    <row r="1266" spans="1:9">
      <c r="A1266" s="8"/>
      <c r="B1266" s="19"/>
      <c r="C1266" s="19"/>
      <c r="D1266" s="17">
        <f t="shared" si="72"/>
        <v>0</v>
      </c>
      <c r="E1266" s="2" t="e">
        <f t="shared" si="73"/>
        <v>#DIV/0!</v>
      </c>
      <c r="F1266" s="13"/>
      <c r="G1266" s="48"/>
      <c r="H1266" s="20"/>
      <c r="I1266" s="21"/>
    </row>
    <row r="1267" spans="1:9">
      <c r="A1267" s="8"/>
      <c r="B1267" s="19"/>
      <c r="C1267" s="19"/>
      <c r="D1267" s="17">
        <f t="shared" ref="D1267:D1330" si="74">B1267-C1267</f>
        <v>0</v>
      </c>
      <c r="E1267" s="2" t="e">
        <f t="shared" ref="E1267:E1330" si="75">(B1267-C1267)/C1267</f>
        <v>#DIV/0!</v>
      </c>
      <c r="F1267" s="13"/>
      <c r="G1267" s="48"/>
      <c r="H1267" s="20"/>
      <c r="I1267" s="21"/>
    </row>
    <row r="1268" spans="1:9">
      <c r="A1268" s="8"/>
      <c r="B1268" s="19"/>
      <c r="C1268" s="19"/>
      <c r="D1268" s="17">
        <f t="shared" si="74"/>
        <v>0</v>
      </c>
      <c r="E1268" s="2" t="e">
        <f t="shared" si="75"/>
        <v>#DIV/0!</v>
      </c>
      <c r="F1268" s="13"/>
      <c r="G1268" s="48"/>
      <c r="H1268" s="20"/>
      <c r="I1268" s="21"/>
    </row>
    <row r="1269" spans="1:9">
      <c r="A1269" s="8"/>
      <c r="B1269" s="19"/>
      <c r="C1269" s="19"/>
      <c r="D1269" s="17">
        <f t="shared" si="74"/>
        <v>0</v>
      </c>
      <c r="E1269" s="2" t="e">
        <f t="shared" si="75"/>
        <v>#DIV/0!</v>
      </c>
      <c r="F1269" s="13"/>
      <c r="G1269" s="48"/>
      <c r="H1269" s="20"/>
      <c r="I1269" s="21"/>
    </row>
    <row r="1270" spans="1:9">
      <c r="A1270" s="8"/>
      <c r="B1270" s="19"/>
      <c r="C1270" s="19"/>
      <c r="D1270" s="17">
        <f t="shared" si="74"/>
        <v>0</v>
      </c>
      <c r="E1270" s="2" t="e">
        <f t="shared" si="75"/>
        <v>#DIV/0!</v>
      </c>
      <c r="F1270" s="13"/>
      <c r="G1270" s="48"/>
      <c r="H1270" s="20"/>
      <c r="I1270" s="21"/>
    </row>
    <row r="1271" spans="1:9">
      <c r="A1271" s="8"/>
      <c r="B1271" s="19"/>
      <c r="C1271" s="19"/>
      <c r="D1271" s="17">
        <f t="shared" si="74"/>
        <v>0</v>
      </c>
      <c r="E1271" s="2" t="e">
        <f t="shared" si="75"/>
        <v>#DIV/0!</v>
      </c>
      <c r="F1271" s="13"/>
      <c r="G1271" s="48"/>
      <c r="H1271" s="20"/>
      <c r="I1271" s="21"/>
    </row>
    <row r="1272" spans="1:9">
      <c r="A1272" s="8"/>
      <c r="B1272" s="19"/>
      <c r="C1272" s="19"/>
      <c r="D1272" s="17">
        <f t="shared" si="74"/>
        <v>0</v>
      </c>
      <c r="E1272" s="2" t="e">
        <f t="shared" si="75"/>
        <v>#DIV/0!</v>
      </c>
      <c r="F1272" s="13"/>
      <c r="G1272" s="48"/>
      <c r="H1272" s="20"/>
      <c r="I1272" s="21"/>
    </row>
    <row r="1273" spans="1:9">
      <c r="A1273" s="8"/>
      <c r="B1273" s="19"/>
      <c r="C1273" s="19"/>
      <c r="D1273" s="17">
        <f t="shared" si="74"/>
        <v>0</v>
      </c>
      <c r="E1273" s="2" t="e">
        <f t="shared" si="75"/>
        <v>#DIV/0!</v>
      </c>
      <c r="F1273" s="13"/>
      <c r="G1273" s="48"/>
      <c r="H1273" s="20"/>
      <c r="I1273" s="21"/>
    </row>
    <row r="1274" spans="1:9">
      <c r="A1274" s="8"/>
      <c r="B1274" s="19"/>
      <c r="C1274" s="19"/>
      <c r="D1274" s="17">
        <f t="shared" si="74"/>
        <v>0</v>
      </c>
      <c r="E1274" s="2" t="e">
        <f t="shared" si="75"/>
        <v>#DIV/0!</v>
      </c>
      <c r="F1274" s="13"/>
      <c r="G1274" s="48"/>
      <c r="H1274" s="20"/>
      <c r="I1274" s="21"/>
    </row>
    <row r="1275" spans="1:9">
      <c r="A1275" s="8"/>
      <c r="B1275" s="19"/>
      <c r="C1275" s="19"/>
      <c r="D1275" s="17">
        <f t="shared" si="74"/>
        <v>0</v>
      </c>
      <c r="E1275" s="2" t="e">
        <f t="shared" si="75"/>
        <v>#DIV/0!</v>
      </c>
      <c r="F1275" s="13"/>
      <c r="G1275" s="48"/>
      <c r="H1275" s="20"/>
      <c r="I1275" s="21"/>
    </row>
    <row r="1276" spans="1:9">
      <c r="A1276" s="8"/>
      <c r="B1276" s="19"/>
      <c r="C1276" s="19"/>
      <c r="D1276" s="17">
        <f t="shared" si="74"/>
        <v>0</v>
      </c>
      <c r="E1276" s="2" t="e">
        <f t="shared" si="75"/>
        <v>#DIV/0!</v>
      </c>
      <c r="F1276" s="13"/>
      <c r="G1276" s="48"/>
      <c r="H1276" s="20"/>
      <c r="I1276" s="21"/>
    </row>
    <row r="1277" spans="1:9">
      <c r="A1277" s="8"/>
      <c r="B1277" s="19"/>
      <c r="C1277" s="19"/>
      <c r="D1277" s="17">
        <f t="shared" si="74"/>
        <v>0</v>
      </c>
      <c r="E1277" s="2" t="e">
        <f t="shared" si="75"/>
        <v>#DIV/0!</v>
      </c>
      <c r="F1277" s="13"/>
      <c r="G1277" s="48"/>
      <c r="H1277" s="20"/>
      <c r="I1277" s="21"/>
    </row>
    <row r="1278" spans="1:9">
      <c r="A1278" s="8"/>
      <c r="B1278" s="19"/>
      <c r="C1278" s="19"/>
      <c r="D1278" s="17">
        <f t="shared" si="74"/>
        <v>0</v>
      </c>
      <c r="E1278" s="2" t="e">
        <f t="shared" si="75"/>
        <v>#DIV/0!</v>
      </c>
      <c r="F1278" s="13"/>
      <c r="G1278" s="48"/>
      <c r="H1278" s="20"/>
      <c r="I1278" s="21"/>
    </row>
    <row r="1279" spans="1:9">
      <c r="A1279" s="8"/>
      <c r="B1279" s="19"/>
      <c r="C1279" s="19"/>
      <c r="D1279" s="17">
        <f t="shared" si="74"/>
        <v>0</v>
      </c>
      <c r="E1279" s="2" t="e">
        <f t="shared" si="75"/>
        <v>#DIV/0!</v>
      </c>
      <c r="F1279" s="13"/>
      <c r="G1279" s="48"/>
      <c r="H1279" s="20"/>
      <c r="I1279" s="21"/>
    </row>
    <row r="1280" spans="1:9">
      <c r="A1280" s="8"/>
      <c r="B1280" s="19"/>
      <c r="C1280" s="19"/>
      <c r="D1280" s="17">
        <f t="shared" si="74"/>
        <v>0</v>
      </c>
      <c r="E1280" s="2" t="e">
        <f t="shared" si="75"/>
        <v>#DIV/0!</v>
      </c>
      <c r="F1280" s="13"/>
      <c r="G1280" s="48"/>
      <c r="H1280" s="20"/>
      <c r="I1280" s="21"/>
    </row>
    <row r="1281" spans="1:9">
      <c r="A1281" s="8"/>
      <c r="B1281" s="19"/>
      <c r="C1281" s="19"/>
      <c r="D1281" s="17">
        <f t="shared" si="74"/>
        <v>0</v>
      </c>
      <c r="E1281" s="2" t="e">
        <f t="shared" si="75"/>
        <v>#DIV/0!</v>
      </c>
      <c r="F1281" s="13"/>
      <c r="G1281" s="48"/>
      <c r="H1281" s="20"/>
      <c r="I1281" s="21"/>
    </row>
    <row r="1282" spans="1:9">
      <c r="A1282" s="8"/>
      <c r="B1282" s="19"/>
      <c r="C1282" s="19"/>
      <c r="D1282" s="17">
        <f t="shared" si="74"/>
        <v>0</v>
      </c>
      <c r="E1282" s="2" t="e">
        <f t="shared" si="75"/>
        <v>#DIV/0!</v>
      </c>
      <c r="F1282" s="13"/>
      <c r="G1282" s="48"/>
      <c r="H1282" s="20"/>
      <c r="I1282" s="21"/>
    </row>
    <row r="1283" spans="1:9">
      <c r="A1283" s="8"/>
      <c r="B1283" s="19"/>
      <c r="C1283" s="19"/>
      <c r="D1283" s="17">
        <f t="shared" si="74"/>
        <v>0</v>
      </c>
      <c r="E1283" s="2" t="e">
        <f t="shared" si="75"/>
        <v>#DIV/0!</v>
      </c>
      <c r="F1283" s="13"/>
      <c r="G1283" s="48"/>
      <c r="H1283" s="20"/>
      <c r="I1283" s="21"/>
    </row>
    <row r="1284" spans="1:9">
      <c r="A1284" s="8"/>
      <c r="B1284" s="19"/>
      <c r="C1284" s="19"/>
      <c r="D1284" s="17">
        <f t="shared" si="74"/>
        <v>0</v>
      </c>
      <c r="E1284" s="2" t="e">
        <f t="shared" si="75"/>
        <v>#DIV/0!</v>
      </c>
      <c r="F1284" s="13"/>
      <c r="G1284" s="48"/>
      <c r="H1284" s="20"/>
      <c r="I1284" s="21"/>
    </row>
    <row r="1285" spans="1:9">
      <c r="A1285" s="8"/>
      <c r="B1285" s="19"/>
      <c r="C1285" s="19"/>
      <c r="D1285" s="17">
        <f t="shared" si="74"/>
        <v>0</v>
      </c>
      <c r="E1285" s="2" t="e">
        <f t="shared" si="75"/>
        <v>#DIV/0!</v>
      </c>
      <c r="F1285" s="13"/>
      <c r="G1285" s="48"/>
      <c r="H1285" s="20"/>
      <c r="I1285" s="21"/>
    </row>
    <row r="1286" spans="1:9">
      <c r="A1286" s="8"/>
      <c r="B1286" s="19"/>
      <c r="C1286" s="19"/>
      <c r="D1286" s="17">
        <f t="shared" si="74"/>
        <v>0</v>
      </c>
      <c r="E1286" s="2" t="e">
        <f t="shared" si="75"/>
        <v>#DIV/0!</v>
      </c>
      <c r="F1286" s="13"/>
      <c r="G1286" s="48"/>
      <c r="H1286" s="20"/>
      <c r="I1286" s="21"/>
    </row>
    <row r="1287" spans="1:9">
      <c r="A1287" s="8"/>
      <c r="B1287" s="19"/>
      <c r="C1287" s="19"/>
      <c r="D1287" s="17">
        <f t="shared" si="74"/>
        <v>0</v>
      </c>
      <c r="E1287" s="2" t="e">
        <f t="shared" si="75"/>
        <v>#DIV/0!</v>
      </c>
      <c r="F1287" s="13"/>
      <c r="G1287" s="48"/>
      <c r="H1287" s="20"/>
      <c r="I1287" s="21"/>
    </row>
    <row r="1288" spans="1:9">
      <c r="A1288" s="8"/>
      <c r="B1288" s="19"/>
      <c r="C1288" s="19"/>
      <c r="D1288" s="17">
        <f t="shared" si="74"/>
        <v>0</v>
      </c>
      <c r="E1288" s="2" t="e">
        <f t="shared" si="75"/>
        <v>#DIV/0!</v>
      </c>
      <c r="F1288" s="13"/>
      <c r="G1288" s="48"/>
      <c r="H1288" s="20"/>
      <c r="I1288" s="21"/>
    </row>
    <row r="1289" spans="1:9">
      <c r="A1289" s="8"/>
      <c r="B1289" s="19"/>
      <c r="C1289" s="19"/>
      <c r="D1289" s="17">
        <f t="shared" si="74"/>
        <v>0</v>
      </c>
      <c r="E1289" s="2" t="e">
        <f t="shared" si="75"/>
        <v>#DIV/0!</v>
      </c>
      <c r="F1289" s="13"/>
      <c r="G1289" s="48"/>
      <c r="H1289" s="20"/>
      <c r="I1289" s="21"/>
    </row>
    <row r="1290" spans="1:9">
      <c r="A1290" s="8"/>
      <c r="B1290" s="19"/>
      <c r="C1290" s="19"/>
      <c r="D1290" s="17">
        <f t="shared" si="74"/>
        <v>0</v>
      </c>
      <c r="E1290" s="2" t="e">
        <f t="shared" si="75"/>
        <v>#DIV/0!</v>
      </c>
      <c r="F1290" s="13"/>
      <c r="G1290" s="48"/>
      <c r="H1290" s="20"/>
      <c r="I1290" s="21"/>
    </row>
    <row r="1291" spans="1:9">
      <c r="A1291" s="8"/>
      <c r="B1291" s="19"/>
      <c r="C1291" s="19"/>
      <c r="D1291" s="17">
        <f t="shared" si="74"/>
        <v>0</v>
      </c>
      <c r="E1291" s="2" t="e">
        <f t="shared" si="75"/>
        <v>#DIV/0!</v>
      </c>
      <c r="F1291" s="13"/>
      <c r="G1291" s="48"/>
      <c r="H1291" s="20"/>
      <c r="I1291" s="21"/>
    </row>
    <row r="1292" spans="1:9">
      <c r="A1292" s="8"/>
      <c r="B1292" s="19"/>
      <c r="C1292" s="19"/>
      <c r="D1292" s="17">
        <f t="shared" si="74"/>
        <v>0</v>
      </c>
      <c r="E1292" s="2" t="e">
        <f t="shared" si="75"/>
        <v>#DIV/0!</v>
      </c>
      <c r="F1292" s="13"/>
      <c r="G1292" s="48"/>
      <c r="H1292" s="20"/>
      <c r="I1292" s="21"/>
    </row>
    <row r="1293" spans="1:9">
      <c r="A1293" s="8"/>
      <c r="B1293" s="19"/>
      <c r="C1293" s="19"/>
      <c r="D1293" s="17">
        <f t="shared" si="74"/>
        <v>0</v>
      </c>
      <c r="E1293" s="2" t="e">
        <f t="shared" si="75"/>
        <v>#DIV/0!</v>
      </c>
      <c r="F1293" s="13"/>
      <c r="G1293" s="48"/>
      <c r="H1293" s="20"/>
      <c r="I1293" s="21"/>
    </row>
    <row r="1294" spans="1:9">
      <c r="A1294" s="8"/>
      <c r="B1294" s="19"/>
      <c r="C1294" s="19"/>
      <c r="D1294" s="17">
        <f t="shared" si="74"/>
        <v>0</v>
      </c>
      <c r="E1294" s="2" t="e">
        <f t="shared" si="75"/>
        <v>#DIV/0!</v>
      </c>
      <c r="F1294" s="13"/>
      <c r="G1294" s="48"/>
      <c r="H1294" s="20"/>
      <c r="I1294" s="21"/>
    </row>
    <row r="1295" spans="1:9">
      <c r="A1295" s="8"/>
      <c r="B1295" s="19"/>
      <c r="C1295" s="19"/>
      <c r="D1295" s="17">
        <f t="shared" si="74"/>
        <v>0</v>
      </c>
      <c r="E1295" s="2" t="e">
        <f t="shared" si="75"/>
        <v>#DIV/0!</v>
      </c>
      <c r="F1295" s="13"/>
      <c r="G1295" s="48"/>
      <c r="H1295" s="20"/>
      <c r="I1295" s="21"/>
    </row>
    <row r="1296" spans="1:9">
      <c r="A1296" s="8"/>
      <c r="B1296" s="19"/>
      <c r="C1296" s="19"/>
      <c r="D1296" s="17">
        <f t="shared" si="74"/>
        <v>0</v>
      </c>
      <c r="E1296" s="2" t="e">
        <f t="shared" si="75"/>
        <v>#DIV/0!</v>
      </c>
      <c r="F1296" s="13"/>
      <c r="G1296" s="48"/>
      <c r="H1296" s="20"/>
      <c r="I1296" s="21"/>
    </row>
    <row r="1297" spans="1:9">
      <c r="A1297" s="8"/>
      <c r="B1297" s="19"/>
      <c r="C1297" s="19"/>
      <c r="D1297" s="17">
        <f t="shared" si="74"/>
        <v>0</v>
      </c>
      <c r="E1297" s="2" t="e">
        <f t="shared" si="75"/>
        <v>#DIV/0!</v>
      </c>
      <c r="F1297" s="13"/>
      <c r="G1297" s="48"/>
      <c r="H1297" s="20"/>
      <c r="I1297" s="21"/>
    </row>
    <row r="1298" spans="1:9">
      <c r="A1298" s="8"/>
      <c r="B1298" s="19"/>
      <c r="C1298" s="19"/>
      <c r="D1298" s="17">
        <f t="shared" si="74"/>
        <v>0</v>
      </c>
      <c r="E1298" s="2" t="e">
        <f t="shared" si="75"/>
        <v>#DIV/0!</v>
      </c>
      <c r="F1298" s="13"/>
      <c r="G1298" s="48"/>
      <c r="H1298" s="20"/>
      <c r="I1298" s="21"/>
    </row>
    <row r="1299" spans="1:9">
      <c r="A1299" s="8"/>
      <c r="B1299" s="19"/>
      <c r="C1299" s="19"/>
      <c r="D1299" s="17">
        <f t="shared" si="74"/>
        <v>0</v>
      </c>
      <c r="E1299" s="2" t="e">
        <f t="shared" si="75"/>
        <v>#DIV/0!</v>
      </c>
      <c r="F1299" s="13"/>
      <c r="G1299" s="48"/>
      <c r="H1299" s="20"/>
      <c r="I1299" s="21"/>
    </row>
    <row r="1300" spans="1:9">
      <c r="A1300" s="8"/>
      <c r="B1300" s="19"/>
      <c r="C1300" s="19"/>
      <c r="D1300" s="17">
        <f t="shared" si="74"/>
        <v>0</v>
      </c>
      <c r="E1300" s="2" t="e">
        <f t="shared" si="75"/>
        <v>#DIV/0!</v>
      </c>
      <c r="F1300" s="13"/>
      <c r="G1300" s="48"/>
      <c r="H1300" s="20"/>
      <c r="I1300" s="21"/>
    </row>
    <row r="1301" spans="1:9">
      <c r="A1301" s="8"/>
      <c r="B1301" s="19"/>
      <c r="C1301" s="19"/>
      <c r="D1301" s="17">
        <f t="shared" si="74"/>
        <v>0</v>
      </c>
      <c r="E1301" s="2" t="e">
        <f t="shared" si="75"/>
        <v>#DIV/0!</v>
      </c>
      <c r="F1301" s="13"/>
      <c r="G1301" s="48"/>
      <c r="H1301" s="20"/>
      <c r="I1301" s="21"/>
    </row>
    <row r="1302" spans="1:9">
      <c r="A1302" s="8"/>
      <c r="B1302" s="19"/>
      <c r="C1302" s="19"/>
      <c r="D1302" s="17">
        <f t="shared" si="74"/>
        <v>0</v>
      </c>
      <c r="E1302" s="2" t="e">
        <f t="shared" si="75"/>
        <v>#DIV/0!</v>
      </c>
      <c r="F1302" s="13"/>
      <c r="G1302" s="48"/>
      <c r="H1302" s="20"/>
      <c r="I1302" s="21"/>
    </row>
    <row r="1303" spans="1:9">
      <c r="A1303" s="8"/>
      <c r="B1303" s="19"/>
      <c r="C1303" s="19"/>
      <c r="D1303" s="17">
        <f t="shared" si="74"/>
        <v>0</v>
      </c>
      <c r="E1303" s="2" t="e">
        <f t="shared" si="75"/>
        <v>#DIV/0!</v>
      </c>
      <c r="F1303" s="13"/>
      <c r="G1303" s="48"/>
      <c r="H1303" s="20"/>
      <c r="I1303" s="21"/>
    </row>
    <row r="1304" spans="1:9">
      <c r="A1304" s="8"/>
      <c r="B1304" s="19"/>
      <c r="C1304" s="19"/>
      <c r="D1304" s="17">
        <f t="shared" si="74"/>
        <v>0</v>
      </c>
      <c r="E1304" s="2" t="e">
        <f t="shared" si="75"/>
        <v>#DIV/0!</v>
      </c>
      <c r="F1304" s="13"/>
      <c r="G1304" s="48"/>
      <c r="H1304" s="20"/>
      <c r="I1304" s="21"/>
    </row>
    <row r="1305" spans="1:9">
      <c r="A1305" s="8"/>
      <c r="B1305" s="19"/>
      <c r="C1305" s="19"/>
      <c r="D1305" s="17">
        <f t="shared" si="74"/>
        <v>0</v>
      </c>
      <c r="E1305" s="2" t="e">
        <f t="shared" si="75"/>
        <v>#DIV/0!</v>
      </c>
      <c r="F1305" s="13"/>
      <c r="G1305" s="48"/>
      <c r="H1305" s="20"/>
      <c r="I1305" s="21"/>
    </row>
    <row r="1306" spans="1:9">
      <c r="A1306" s="8"/>
      <c r="B1306" s="19"/>
      <c r="C1306" s="19"/>
      <c r="D1306" s="17">
        <f t="shared" si="74"/>
        <v>0</v>
      </c>
      <c r="E1306" s="2" t="e">
        <f t="shared" si="75"/>
        <v>#DIV/0!</v>
      </c>
      <c r="F1306" s="13"/>
      <c r="G1306" s="48"/>
      <c r="H1306" s="20"/>
      <c r="I1306" s="21"/>
    </row>
    <row r="1307" spans="1:9">
      <c r="A1307" s="8"/>
      <c r="B1307" s="19"/>
      <c r="C1307" s="19"/>
      <c r="D1307" s="17">
        <f t="shared" si="74"/>
        <v>0</v>
      </c>
      <c r="E1307" s="2" t="e">
        <f t="shared" si="75"/>
        <v>#DIV/0!</v>
      </c>
      <c r="F1307" s="13"/>
      <c r="G1307" s="48"/>
      <c r="H1307" s="20"/>
      <c r="I1307" s="21"/>
    </row>
    <row r="1308" spans="1:9">
      <c r="A1308" s="8"/>
      <c r="B1308" s="19"/>
      <c r="C1308" s="19"/>
      <c r="D1308" s="17">
        <f t="shared" si="74"/>
        <v>0</v>
      </c>
      <c r="E1308" s="2" t="e">
        <f t="shared" si="75"/>
        <v>#DIV/0!</v>
      </c>
      <c r="F1308" s="13"/>
      <c r="G1308" s="48"/>
      <c r="H1308" s="20"/>
      <c r="I1308" s="21"/>
    </row>
    <row r="1309" spans="1:9">
      <c r="A1309" s="8"/>
      <c r="B1309" s="19"/>
      <c r="C1309" s="19"/>
      <c r="D1309" s="17">
        <f t="shared" si="74"/>
        <v>0</v>
      </c>
      <c r="E1309" s="2" t="e">
        <f t="shared" si="75"/>
        <v>#DIV/0!</v>
      </c>
      <c r="F1309" s="13"/>
      <c r="G1309" s="48"/>
      <c r="H1309" s="20"/>
      <c r="I1309" s="21"/>
    </row>
    <row r="1310" spans="1:9">
      <c r="A1310" s="8"/>
      <c r="B1310" s="19"/>
      <c r="C1310" s="19"/>
      <c r="D1310" s="17">
        <f t="shared" si="74"/>
        <v>0</v>
      </c>
      <c r="E1310" s="2" t="e">
        <f t="shared" si="75"/>
        <v>#DIV/0!</v>
      </c>
      <c r="F1310" s="13"/>
      <c r="G1310" s="48"/>
      <c r="H1310" s="20"/>
      <c r="I1310" s="21"/>
    </row>
    <row r="1311" spans="1:9">
      <c r="A1311" s="8"/>
      <c r="B1311" s="19"/>
      <c r="C1311" s="19"/>
      <c r="D1311" s="17">
        <f t="shared" si="74"/>
        <v>0</v>
      </c>
      <c r="E1311" s="2" t="e">
        <f t="shared" si="75"/>
        <v>#DIV/0!</v>
      </c>
      <c r="F1311" s="13"/>
      <c r="G1311" s="48"/>
      <c r="H1311" s="20"/>
      <c r="I1311" s="21"/>
    </row>
    <row r="1312" spans="1:9">
      <c r="A1312" s="8"/>
      <c r="B1312" s="19"/>
      <c r="C1312" s="19"/>
      <c r="D1312" s="17">
        <f t="shared" si="74"/>
        <v>0</v>
      </c>
      <c r="E1312" s="2" t="e">
        <f t="shared" si="75"/>
        <v>#DIV/0!</v>
      </c>
      <c r="F1312" s="13"/>
      <c r="G1312" s="48"/>
      <c r="H1312" s="20"/>
      <c r="I1312" s="21"/>
    </row>
    <row r="1313" spans="1:9">
      <c r="A1313" s="8"/>
      <c r="B1313" s="19"/>
      <c r="C1313" s="19"/>
      <c r="D1313" s="17">
        <f t="shared" si="74"/>
        <v>0</v>
      </c>
      <c r="E1313" s="2" t="e">
        <f t="shared" si="75"/>
        <v>#DIV/0!</v>
      </c>
      <c r="F1313" s="13"/>
      <c r="G1313" s="48"/>
      <c r="H1313" s="20"/>
      <c r="I1313" s="21"/>
    </row>
    <row r="1314" spans="1:9">
      <c r="A1314" s="8"/>
      <c r="B1314" s="19"/>
      <c r="C1314" s="19"/>
      <c r="D1314" s="17">
        <f t="shared" si="74"/>
        <v>0</v>
      </c>
      <c r="E1314" s="2" t="e">
        <f t="shared" si="75"/>
        <v>#DIV/0!</v>
      </c>
      <c r="F1314" s="13"/>
      <c r="G1314" s="48"/>
      <c r="H1314" s="20"/>
      <c r="I1314" s="21"/>
    </row>
    <row r="1315" spans="1:9">
      <c r="A1315" s="8"/>
      <c r="B1315" s="19"/>
      <c r="C1315" s="19"/>
      <c r="D1315" s="17">
        <f t="shared" si="74"/>
        <v>0</v>
      </c>
      <c r="E1315" s="2" t="e">
        <f t="shared" si="75"/>
        <v>#DIV/0!</v>
      </c>
      <c r="F1315" s="13"/>
      <c r="G1315" s="48"/>
      <c r="H1315" s="20"/>
      <c r="I1315" s="21"/>
    </row>
    <row r="1316" spans="1:9">
      <c r="A1316" s="8"/>
      <c r="B1316" s="19"/>
      <c r="C1316" s="19"/>
      <c r="D1316" s="17">
        <f t="shared" si="74"/>
        <v>0</v>
      </c>
      <c r="E1316" s="2" t="e">
        <f t="shared" si="75"/>
        <v>#DIV/0!</v>
      </c>
      <c r="F1316" s="13"/>
      <c r="G1316" s="48"/>
      <c r="H1316" s="20"/>
      <c r="I1316" s="21"/>
    </row>
    <row r="1317" spans="1:9">
      <c r="A1317" s="8"/>
      <c r="B1317" s="19"/>
      <c r="C1317" s="19"/>
      <c r="D1317" s="17">
        <f t="shared" si="74"/>
        <v>0</v>
      </c>
      <c r="E1317" s="2" t="e">
        <f t="shared" si="75"/>
        <v>#DIV/0!</v>
      </c>
      <c r="F1317" s="13"/>
      <c r="G1317" s="48"/>
      <c r="H1317" s="20"/>
      <c r="I1317" s="21"/>
    </row>
    <row r="1318" spans="1:9">
      <c r="A1318" s="8"/>
      <c r="B1318" s="19"/>
      <c r="C1318" s="19"/>
      <c r="D1318" s="17">
        <f t="shared" si="74"/>
        <v>0</v>
      </c>
      <c r="E1318" s="2" t="e">
        <f t="shared" si="75"/>
        <v>#DIV/0!</v>
      </c>
      <c r="F1318" s="13"/>
      <c r="G1318" s="48"/>
      <c r="H1318" s="20"/>
      <c r="I1318" s="21"/>
    </row>
    <row r="1319" spans="1:9">
      <c r="A1319" s="8"/>
      <c r="B1319" s="19"/>
      <c r="C1319" s="19"/>
      <c r="D1319" s="17">
        <f t="shared" si="74"/>
        <v>0</v>
      </c>
      <c r="E1319" s="2" t="e">
        <f t="shared" si="75"/>
        <v>#DIV/0!</v>
      </c>
      <c r="F1319" s="13"/>
      <c r="G1319" s="48"/>
      <c r="H1319" s="20"/>
      <c r="I1319" s="21"/>
    </row>
    <row r="1320" spans="1:9">
      <c r="A1320" s="8"/>
      <c r="B1320" s="19"/>
      <c r="C1320" s="19"/>
      <c r="D1320" s="17">
        <f t="shared" si="74"/>
        <v>0</v>
      </c>
      <c r="E1320" s="2" t="e">
        <f t="shared" si="75"/>
        <v>#DIV/0!</v>
      </c>
      <c r="F1320" s="13"/>
      <c r="G1320" s="48"/>
      <c r="H1320" s="20"/>
      <c r="I1320" s="21"/>
    </row>
    <row r="1321" spans="1:9">
      <c r="A1321" s="8"/>
      <c r="B1321" s="19"/>
      <c r="C1321" s="19"/>
      <c r="D1321" s="17">
        <f t="shared" si="74"/>
        <v>0</v>
      </c>
      <c r="E1321" s="2" t="e">
        <f t="shared" si="75"/>
        <v>#DIV/0!</v>
      </c>
      <c r="F1321" s="13"/>
      <c r="G1321" s="48"/>
      <c r="H1321" s="20"/>
      <c r="I1321" s="21"/>
    </row>
    <row r="1322" spans="1:9">
      <c r="A1322" s="8"/>
      <c r="B1322" s="19"/>
      <c r="C1322" s="19"/>
      <c r="D1322" s="17">
        <f t="shared" si="74"/>
        <v>0</v>
      </c>
      <c r="E1322" s="2" t="e">
        <f t="shared" si="75"/>
        <v>#DIV/0!</v>
      </c>
      <c r="F1322" s="13"/>
      <c r="G1322" s="48"/>
      <c r="H1322" s="20"/>
      <c r="I1322" s="21"/>
    </row>
    <row r="1323" spans="1:9">
      <c r="A1323" s="8"/>
      <c r="B1323" s="19"/>
      <c r="C1323" s="19"/>
      <c r="D1323" s="17">
        <f t="shared" si="74"/>
        <v>0</v>
      </c>
      <c r="E1323" s="2" t="e">
        <f t="shared" si="75"/>
        <v>#DIV/0!</v>
      </c>
      <c r="F1323" s="13"/>
      <c r="G1323" s="48"/>
      <c r="H1323" s="20"/>
      <c r="I1323" s="21"/>
    </row>
    <row r="1324" spans="1:9">
      <c r="A1324" s="8"/>
      <c r="B1324" s="19"/>
      <c r="C1324" s="19"/>
      <c r="D1324" s="17">
        <f t="shared" si="74"/>
        <v>0</v>
      </c>
      <c r="E1324" s="2" t="e">
        <f t="shared" si="75"/>
        <v>#DIV/0!</v>
      </c>
      <c r="F1324" s="13"/>
      <c r="G1324" s="48"/>
      <c r="H1324" s="20"/>
      <c r="I1324" s="21"/>
    </row>
    <row r="1325" spans="1:9">
      <c r="A1325" s="8"/>
      <c r="B1325" s="19"/>
      <c r="C1325" s="19"/>
      <c r="D1325" s="17">
        <f t="shared" si="74"/>
        <v>0</v>
      </c>
      <c r="E1325" s="2" t="e">
        <f t="shared" si="75"/>
        <v>#DIV/0!</v>
      </c>
      <c r="F1325" s="13"/>
      <c r="G1325" s="48"/>
      <c r="H1325" s="20"/>
      <c r="I1325" s="21"/>
    </row>
    <row r="1326" spans="1:9">
      <c r="A1326" s="8"/>
      <c r="B1326" s="19"/>
      <c r="C1326" s="19"/>
      <c r="D1326" s="17">
        <f t="shared" si="74"/>
        <v>0</v>
      </c>
      <c r="E1326" s="2" t="e">
        <f t="shared" si="75"/>
        <v>#DIV/0!</v>
      </c>
      <c r="F1326" s="13"/>
      <c r="G1326" s="48"/>
      <c r="H1326" s="20"/>
      <c r="I1326" s="21"/>
    </row>
    <row r="1327" spans="1:9">
      <c r="A1327" s="8"/>
      <c r="B1327" s="19"/>
      <c r="C1327" s="19"/>
      <c r="D1327" s="17">
        <f t="shared" si="74"/>
        <v>0</v>
      </c>
      <c r="E1327" s="2" t="e">
        <f t="shared" si="75"/>
        <v>#DIV/0!</v>
      </c>
      <c r="F1327" s="13"/>
      <c r="G1327" s="48"/>
      <c r="H1327" s="20"/>
      <c r="I1327" s="21"/>
    </row>
    <row r="1328" spans="1:9">
      <c r="A1328" s="8"/>
      <c r="B1328" s="19"/>
      <c r="C1328" s="19"/>
      <c r="D1328" s="17">
        <f t="shared" si="74"/>
        <v>0</v>
      </c>
      <c r="E1328" s="2" t="e">
        <f t="shared" si="75"/>
        <v>#DIV/0!</v>
      </c>
      <c r="F1328" s="13"/>
      <c r="G1328" s="48"/>
      <c r="H1328" s="20"/>
      <c r="I1328" s="21"/>
    </row>
    <row r="1329" spans="1:9">
      <c r="A1329" s="8"/>
      <c r="B1329" s="19"/>
      <c r="C1329" s="19"/>
      <c r="D1329" s="17">
        <f t="shared" si="74"/>
        <v>0</v>
      </c>
      <c r="E1329" s="2" t="e">
        <f t="shared" si="75"/>
        <v>#DIV/0!</v>
      </c>
      <c r="F1329" s="13"/>
      <c r="G1329" s="48"/>
      <c r="H1329" s="20"/>
      <c r="I1329" s="21"/>
    </row>
    <row r="1330" spans="1:9">
      <c r="A1330" s="8"/>
      <c r="B1330" s="19"/>
      <c r="C1330" s="19"/>
      <c r="D1330" s="17">
        <f t="shared" si="74"/>
        <v>0</v>
      </c>
      <c r="E1330" s="2" t="e">
        <f t="shared" si="75"/>
        <v>#DIV/0!</v>
      </c>
      <c r="F1330" s="13"/>
      <c r="G1330" s="48"/>
      <c r="H1330" s="20"/>
      <c r="I1330" s="21"/>
    </row>
    <row r="1331" spans="1:9">
      <c r="A1331" s="8"/>
      <c r="B1331" s="19"/>
      <c r="C1331" s="19"/>
      <c r="D1331" s="17">
        <f t="shared" ref="D1331:D1394" si="76">B1331-C1331</f>
        <v>0</v>
      </c>
      <c r="E1331" s="2" t="e">
        <f t="shared" ref="E1331:E1394" si="77">(B1331-C1331)/C1331</f>
        <v>#DIV/0!</v>
      </c>
      <c r="F1331" s="13"/>
      <c r="G1331" s="48"/>
      <c r="H1331" s="20"/>
      <c r="I1331" s="21"/>
    </row>
    <row r="1332" spans="1:9">
      <c r="A1332" s="8"/>
      <c r="B1332" s="19"/>
      <c r="C1332" s="19"/>
      <c r="D1332" s="17">
        <f t="shared" si="76"/>
        <v>0</v>
      </c>
      <c r="E1332" s="2" t="e">
        <f t="shared" si="77"/>
        <v>#DIV/0!</v>
      </c>
      <c r="F1332" s="13"/>
      <c r="G1332" s="48"/>
      <c r="H1332" s="20"/>
      <c r="I1332" s="21"/>
    </row>
    <row r="1333" spans="1:9">
      <c r="A1333" s="8"/>
      <c r="B1333" s="19"/>
      <c r="C1333" s="19"/>
      <c r="D1333" s="17">
        <f t="shared" si="76"/>
        <v>0</v>
      </c>
      <c r="E1333" s="2" t="e">
        <f t="shared" si="77"/>
        <v>#DIV/0!</v>
      </c>
      <c r="F1333" s="13"/>
      <c r="G1333" s="48"/>
      <c r="H1333" s="20"/>
      <c r="I1333" s="21"/>
    </row>
    <row r="1334" spans="1:9">
      <c r="A1334" s="8"/>
      <c r="B1334" s="19"/>
      <c r="C1334" s="19"/>
      <c r="D1334" s="17">
        <f t="shared" si="76"/>
        <v>0</v>
      </c>
      <c r="E1334" s="2" t="e">
        <f t="shared" si="77"/>
        <v>#DIV/0!</v>
      </c>
      <c r="F1334" s="13"/>
      <c r="G1334" s="48"/>
      <c r="H1334" s="20"/>
      <c r="I1334" s="21"/>
    </row>
    <row r="1335" spans="1:9">
      <c r="A1335" s="8"/>
      <c r="B1335" s="19"/>
      <c r="C1335" s="19"/>
      <c r="D1335" s="17">
        <f t="shared" si="76"/>
        <v>0</v>
      </c>
      <c r="E1335" s="2" t="e">
        <f t="shared" si="77"/>
        <v>#DIV/0!</v>
      </c>
      <c r="F1335" s="13"/>
      <c r="G1335" s="48"/>
      <c r="H1335" s="20"/>
      <c r="I1335" s="21"/>
    </row>
    <row r="1336" spans="1:9">
      <c r="A1336" s="8"/>
      <c r="B1336" s="19"/>
      <c r="C1336" s="19"/>
      <c r="D1336" s="17">
        <f t="shared" si="76"/>
        <v>0</v>
      </c>
      <c r="E1336" s="2" t="e">
        <f t="shared" si="77"/>
        <v>#DIV/0!</v>
      </c>
      <c r="F1336" s="13"/>
      <c r="G1336" s="48"/>
      <c r="H1336" s="20"/>
      <c r="I1336" s="21"/>
    </row>
    <row r="1337" spans="1:9">
      <c r="A1337" s="8"/>
      <c r="B1337" s="19"/>
      <c r="C1337" s="19"/>
      <c r="D1337" s="17">
        <f t="shared" si="76"/>
        <v>0</v>
      </c>
      <c r="E1337" s="2" t="e">
        <f t="shared" si="77"/>
        <v>#DIV/0!</v>
      </c>
      <c r="F1337" s="13"/>
      <c r="G1337" s="48"/>
      <c r="H1337" s="20"/>
      <c r="I1337" s="21"/>
    </row>
    <row r="1338" spans="1:9">
      <c r="A1338" s="8"/>
      <c r="B1338" s="19"/>
      <c r="C1338" s="19"/>
      <c r="D1338" s="17">
        <f t="shared" si="76"/>
        <v>0</v>
      </c>
      <c r="E1338" s="2" t="e">
        <f t="shared" si="77"/>
        <v>#DIV/0!</v>
      </c>
      <c r="F1338" s="13"/>
      <c r="G1338" s="48"/>
      <c r="H1338" s="20"/>
      <c r="I1338" s="21"/>
    </row>
    <row r="1339" spans="1:9">
      <c r="A1339" s="8"/>
      <c r="B1339" s="19"/>
      <c r="C1339" s="19"/>
      <c r="D1339" s="17">
        <f t="shared" si="76"/>
        <v>0</v>
      </c>
      <c r="E1339" s="2" t="e">
        <f t="shared" si="77"/>
        <v>#DIV/0!</v>
      </c>
      <c r="F1339" s="13"/>
      <c r="G1339" s="48"/>
      <c r="H1339" s="20"/>
      <c r="I1339" s="21"/>
    </row>
    <row r="1340" spans="1:9">
      <c r="A1340" s="8"/>
      <c r="B1340" s="19"/>
      <c r="C1340" s="19"/>
      <c r="D1340" s="17">
        <f t="shared" si="76"/>
        <v>0</v>
      </c>
      <c r="E1340" s="2" t="e">
        <f t="shared" si="77"/>
        <v>#DIV/0!</v>
      </c>
      <c r="F1340" s="13"/>
      <c r="G1340" s="48"/>
      <c r="H1340" s="20"/>
      <c r="I1340" s="21"/>
    </row>
    <row r="1341" spans="1:9">
      <c r="A1341" s="8"/>
      <c r="B1341" s="19"/>
      <c r="C1341" s="19"/>
      <c r="D1341" s="17">
        <f t="shared" si="76"/>
        <v>0</v>
      </c>
      <c r="E1341" s="2" t="e">
        <f t="shared" si="77"/>
        <v>#DIV/0!</v>
      </c>
      <c r="F1341" s="13"/>
      <c r="G1341" s="48"/>
      <c r="H1341" s="20"/>
      <c r="I1341" s="21"/>
    </row>
    <row r="1342" spans="1:9">
      <c r="A1342" s="8"/>
      <c r="B1342" s="19"/>
      <c r="C1342" s="19"/>
      <c r="D1342" s="17">
        <f t="shared" si="76"/>
        <v>0</v>
      </c>
      <c r="E1342" s="2" t="e">
        <f t="shared" si="77"/>
        <v>#DIV/0!</v>
      </c>
      <c r="F1342" s="13"/>
      <c r="G1342" s="48"/>
      <c r="H1342" s="20"/>
      <c r="I1342" s="21"/>
    </row>
    <row r="1343" spans="1:9">
      <c r="A1343" s="8"/>
      <c r="B1343" s="19"/>
      <c r="C1343" s="19"/>
      <c r="D1343" s="17">
        <f t="shared" si="76"/>
        <v>0</v>
      </c>
      <c r="E1343" s="2" t="e">
        <f t="shared" si="77"/>
        <v>#DIV/0!</v>
      </c>
      <c r="F1343" s="13"/>
      <c r="G1343" s="48"/>
      <c r="H1343" s="20"/>
      <c r="I1343" s="21"/>
    </row>
    <row r="1344" spans="1:9">
      <c r="A1344" s="8"/>
      <c r="B1344" s="19"/>
      <c r="C1344" s="19"/>
      <c r="D1344" s="17">
        <f t="shared" si="76"/>
        <v>0</v>
      </c>
      <c r="E1344" s="2" t="e">
        <f t="shared" si="77"/>
        <v>#DIV/0!</v>
      </c>
      <c r="F1344" s="13"/>
      <c r="G1344" s="48"/>
      <c r="H1344" s="20"/>
      <c r="I1344" s="21"/>
    </row>
    <row r="1345" spans="1:9">
      <c r="A1345" s="8"/>
      <c r="B1345" s="19"/>
      <c r="C1345" s="19"/>
      <c r="D1345" s="17">
        <f t="shared" si="76"/>
        <v>0</v>
      </c>
      <c r="E1345" s="2" t="e">
        <f t="shared" si="77"/>
        <v>#DIV/0!</v>
      </c>
      <c r="F1345" s="13"/>
      <c r="G1345" s="48"/>
      <c r="H1345" s="20"/>
      <c r="I1345" s="21"/>
    </row>
    <row r="1346" spans="1:9">
      <c r="A1346" s="8"/>
      <c r="B1346" s="19"/>
      <c r="C1346" s="19"/>
      <c r="D1346" s="17">
        <f t="shared" si="76"/>
        <v>0</v>
      </c>
      <c r="E1346" s="2" t="e">
        <f t="shared" si="77"/>
        <v>#DIV/0!</v>
      </c>
      <c r="F1346" s="13"/>
      <c r="G1346" s="48"/>
      <c r="H1346" s="20"/>
      <c r="I1346" s="21"/>
    </row>
    <row r="1347" spans="1:9">
      <c r="A1347" s="8"/>
      <c r="B1347" s="19"/>
      <c r="C1347" s="19"/>
      <c r="D1347" s="17">
        <f t="shared" si="76"/>
        <v>0</v>
      </c>
      <c r="E1347" s="2" t="e">
        <f t="shared" si="77"/>
        <v>#DIV/0!</v>
      </c>
      <c r="F1347" s="13"/>
      <c r="G1347" s="48"/>
      <c r="H1347" s="20"/>
      <c r="I1347" s="21"/>
    </row>
    <row r="1348" spans="1:9">
      <c r="A1348" s="8"/>
      <c r="B1348" s="19"/>
      <c r="C1348" s="19"/>
      <c r="D1348" s="17">
        <f t="shared" si="76"/>
        <v>0</v>
      </c>
      <c r="E1348" s="2" t="e">
        <f t="shared" si="77"/>
        <v>#DIV/0!</v>
      </c>
      <c r="F1348" s="13"/>
      <c r="G1348" s="48"/>
      <c r="H1348" s="20"/>
      <c r="I1348" s="21"/>
    </row>
    <row r="1349" spans="1:9">
      <c r="A1349" s="8"/>
      <c r="B1349" s="19"/>
      <c r="C1349" s="19"/>
      <c r="D1349" s="17">
        <f t="shared" si="76"/>
        <v>0</v>
      </c>
      <c r="E1349" s="2" t="e">
        <f t="shared" si="77"/>
        <v>#DIV/0!</v>
      </c>
      <c r="F1349" s="13"/>
      <c r="G1349" s="48"/>
      <c r="H1349" s="20"/>
      <c r="I1349" s="21"/>
    </row>
    <row r="1350" spans="1:9">
      <c r="A1350" s="8"/>
      <c r="B1350" s="19"/>
      <c r="C1350" s="19"/>
      <c r="D1350" s="17">
        <f t="shared" si="76"/>
        <v>0</v>
      </c>
      <c r="E1350" s="2" t="e">
        <f t="shared" si="77"/>
        <v>#DIV/0!</v>
      </c>
      <c r="F1350" s="13"/>
      <c r="G1350" s="48"/>
      <c r="H1350" s="20"/>
      <c r="I1350" s="21"/>
    </row>
    <row r="1351" spans="1:9">
      <c r="A1351" s="8"/>
      <c r="B1351" s="19"/>
      <c r="C1351" s="19"/>
      <c r="D1351" s="17">
        <f t="shared" si="76"/>
        <v>0</v>
      </c>
      <c r="E1351" s="2" t="e">
        <f t="shared" si="77"/>
        <v>#DIV/0!</v>
      </c>
      <c r="F1351" s="13"/>
      <c r="G1351" s="48"/>
      <c r="H1351" s="20"/>
      <c r="I1351" s="21"/>
    </row>
    <row r="1352" spans="1:9">
      <c r="A1352" s="8"/>
      <c r="B1352" s="19"/>
      <c r="C1352" s="19"/>
      <c r="D1352" s="17">
        <f t="shared" si="76"/>
        <v>0</v>
      </c>
      <c r="E1352" s="2" t="e">
        <f t="shared" si="77"/>
        <v>#DIV/0!</v>
      </c>
      <c r="F1352" s="13"/>
      <c r="G1352" s="48"/>
      <c r="H1352" s="20"/>
      <c r="I1352" s="21"/>
    </row>
    <row r="1353" spans="1:9">
      <c r="A1353" s="8"/>
      <c r="B1353" s="19"/>
      <c r="C1353" s="19"/>
      <c r="D1353" s="17">
        <f t="shared" si="76"/>
        <v>0</v>
      </c>
      <c r="E1353" s="2" t="e">
        <f t="shared" si="77"/>
        <v>#DIV/0!</v>
      </c>
      <c r="F1353" s="13"/>
      <c r="G1353" s="48"/>
      <c r="H1353" s="20"/>
      <c r="I1353" s="21"/>
    </row>
    <row r="1354" spans="1:9">
      <c r="A1354" s="8"/>
      <c r="B1354" s="19"/>
      <c r="C1354" s="19"/>
      <c r="D1354" s="17">
        <f t="shared" si="76"/>
        <v>0</v>
      </c>
      <c r="E1354" s="2" t="e">
        <f t="shared" si="77"/>
        <v>#DIV/0!</v>
      </c>
      <c r="F1354" s="13"/>
      <c r="G1354" s="48"/>
      <c r="H1354" s="20"/>
      <c r="I1354" s="21"/>
    </row>
    <row r="1355" spans="1:9">
      <c r="A1355" s="8"/>
      <c r="B1355" s="19"/>
      <c r="C1355" s="19"/>
      <c r="D1355" s="17">
        <f t="shared" si="76"/>
        <v>0</v>
      </c>
      <c r="E1355" s="2" t="e">
        <f t="shared" si="77"/>
        <v>#DIV/0!</v>
      </c>
      <c r="F1355" s="13"/>
      <c r="G1355" s="48"/>
      <c r="H1355" s="20"/>
      <c r="I1355" s="21"/>
    </row>
    <row r="1356" spans="1:9">
      <c r="A1356" s="8"/>
      <c r="B1356" s="19"/>
      <c r="C1356" s="19"/>
      <c r="D1356" s="17">
        <f t="shared" si="76"/>
        <v>0</v>
      </c>
      <c r="E1356" s="2" t="e">
        <f t="shared" si="77"/>
        <v>#DIV/0!</v>
      </c>
      <c r="F1356" s="13"/>
      <c r="G1356" s="48"/>
      <c r="H1356" s="20"/>
      <c r="I1356" s="21"/>
    </row>
    <row r="1357" spans="1:9">
      <c r="A1357" s="8"/>
      <c r="B1357" s="19"/>
      <c r="C1357" s="19"/>
      <c r="D1357" s="17">
        <f t="shared" si="76"/>
        <v>0</v>
      </c>
      <c r="E1357" s="2" t="e">
        <f t="shared" si="77"/>
        <v>#DIV/0!</v>
      </c>
      <c r="F1357" s="13"/>
      <c r="G1357" s="48"/>
      <c r="H1357" s="20"/>
      <c r="I1357" s="21"/>
    </row>
    <row r="1358" spans="1:9">
      <c r="A1358" s="8"/>
      <c r="B1358" s="19"/>
      <c r="C1358" s="19"/>
      <c r="D1358" s="17">
        <f t="shared" si="76"/>
        <v>0</v>
      </c>
      <c r="E1358" s="2" t="e">
        <f t="shared" si="77"/>
        <v>#DIV/0!</v>
      </c>
      <c r="F1358" s="13"/>
      <c r="G1358" s="48"/>
      <c r="H1358" s="20"/>
      <c r="I1358" s="21"/>
    </row>
    <row r="1359" spans="1:9">
      <c r="A1359" s="8"/>
      <c r="B1359" s="19"/>
      <c r="C1359" s="19"/>
      <c r="D1359" s="17">
        <f t="shared" si="76"/>
        <v>0</v>
      </c>
      <c r="E1359" s="2" t="e">
        <f t="shared" si="77"/>
        <v>#DIV/0!</v>
      </c>
      <c r="F1359" s="13"/>
      <c r="G1359" s="48"/>
      <c r="H1359" s="20"/>
      <c r="I1359" s="21"/>
    </row>
    <row r="1360" spans="1:9">
      <c r="A1360" s="8"/>
      <c r="B1360" s="19"/>
      <c r="C1360" s="19"/>
      <c r="D1360" s="17">
        <f t="shared" si="76"/>
        <v>0</v>
      </c>
      <c r="E1360" s="2" t="e">
        <f t="shared" si="77"/>
        <v>#DIV/0!</v>
      </c>
      <c r="F1360" s="13"/>
      <c r="G1360" s="48"/>
      <c r="H1360" s="20"/>
      <c r="I1360" s="21"/>
    </row>
    <row r="1361" spans="1:9">
      <c r="A1361" s="8"/>
      <c r="B1361" s="19"/>
      <c r="C1361" s="19"/>
      <c r="D1361" s="17">
        <f t="shared" si="76"/>
        <v>0</v>
      </c>
      <c r="E1361" s="2" t="e">
        <f t="shared" si="77"/>
        <v>#DIV/0!</v>
      </c>
      <c r="F1361" s="13"/>
      <c r="G1361" s="48"/>
      <c r="H1361" s="20"/>
      <c r="I1361" s="21"/>
    </row>
    <row r="1362" spans="1:9">
      <c r="A1362" s="8"/>
      <c r="B1362" s="19"/>
      <c r="C1362" s="19"/>
      <c r="D1362" s="17">
        <f t="shared" si="76"/>
        <v>0</v>
      </c>
      <c r="E1362" s="2" t="e">
        <f t="shared" si="77"/>
        <v>#DIV/0!</v>
      </c>
      <c r="F1362" s="13"/>
      <c r="G1362" s="48"/>
      <c r="H1362" s="20"/>
      <c r="I1362" s="21"/>
    </row>
    <row r="1363" spans="1:9">
      <c r="A1363" s="8"/>
      <c r="B1363" s="19"/>
      <c r="C1363" s="19"/>
      <c r="D1363" s="17">
        <f t="shared" si="76"/>
        <v>0</v>
      </c>
      <c r="E1363" s="2" t="e">
        <f t="shared" si="77"/>
        <v>#DIV/0!</v>
      </c>
      <c r="F1363" s="13"/>
      <c r="G1363" s="48"/>
      <c r="H1363" s="20"/>
      <c r="I1363" s="21"/>
    </row>
    <row r="1364" spans="1:9">
      <c r="A1364" s="8"/>
      <c r="B1364" s="19"/>
      <c r="C1364" s="19"/>
      <c r="D1364" s="17">
        <f t="shared" si="76"/>
        <v>0</v>
      </c>
      <c r="E1364" s="2" t="e">
        <f t="shared" si="77"/>
        <v>#DIV/0!</v>
      </c>
      <c r="F1364" s="13"/>
      <c r="G1364" s="48"/>
      <c r="H1364" s="20"/>
      <c r="I1364" s="21"/>
    </row>
    <row r="1365" spans="1:9">
      <c r="A1365" s="8"/>
      <c r="B1365" s="19"/>
      <c r="C1365" s="19"/>
      <c r="D1365" s="17">
        <f t="shared" si="76"/>
        <v>0</v>
      </c>
      <c r="E1365" s="2" t="e">
        <f t="shared" si="77"/>
        <v>#DIV/0!</v>
      </c>
      <c r="F1365" s="13"/>
      <c r="G1365" s="48"/>
      <c r="H1365" s="20"/>
      <c r="I1365" s="21"/>
    </row>
    <row r="1366" spans="1:9">
      <c r="A1366" s="8"/>
      <c r="B1366" s="19"/>
      <c r="C1366" s="19"/>
      <c r="D1366" s="17">
        <f t="shared" si="76"/>
        <v>0</v>
      </c>
      <c r="E1366" s="2" t="e">
        <f t="shared" si="77"/>
        <v>#DIV/0!</v>
      </c>
      <c r="F1366" s="13"/>
      <c r="G1366" s="48"/>
      <c r="H1366" s="20"/>
      <c r="I1366" s="21"/>
    </row>
    <row r="1367" spans="1:9">
      <c r="A1367" s="8"/>
      <c r="B1367" s="19"/>
      <c r="C1367" s="19"/>
      <c r="D1367" s="17">
        <f t="shared" si="76"/>
        <v>0</v>
      </c>
      <c r="E1367" s="2" t="e">
        <f t="shared" si="77"/>
        <v>#DIV/0!</v>
      </c>
      <c r="F1367" s="13"/>
      <c r="G1367" s="48"/>
      <c r="H1367" s="20"/>
      <c r="I1367" s="21"/>
    </row>
    <row r="1368" spans="1:9">
      <c r="A1368" s="8"/>
      <c r="B1368" s="19"/>
      <c r="C1368" s="19"/>
      <c r="D1368" s="17">
        <f t="shared" si="76"/>
        <v>0</v>
      </c>
      <c r="E1368" s="2" t="e">
        <f t="shared" si="77"/>
        <v>#DIV/0!</v>
      </c>
      <c r="F1368" s="13"/>
      <c r="G1368" s="48"/>
      <c r="H1368" s="20"/>
      <c r="I1368" s="21"/>
    </row>
    <row r="1369" spans="1:9">
      <c r="A1369" s="8"/>
      <c r="B1369" s="19"/>
      <c r="C1369" s="19"/>
      <c r="D1369" s="17">
        <f t="shared" si="76"/>
        <v>0</v>
      </c>
      <c r="E1369" s="2" t="e">
        <f t="shared" si="77"/>
        <v>#DIV/0!</v>
      </c>
      <c r="F1369" s="13"/>
      <c r="G1369" s="48"/>
      <c r="H1369" s="20"/>
      <c r="I1369" s="21"/>
    </row>
    <row r="1370" spans="1:9">
      <c r="A1370" s="8"/>
      <c r="B1370" s="19"/>
      <c r="C1370" s="19"/>
      <c r="D1370" s="17">
        <f t="shared" si="76"/>
        <v>0</v>
      </c>
      <c r="E1370" s="2" t="e">
        <f t="shared" si="77"/>
        <v>#DIV/0!</v>
      </c>
      <c r="F1370" s="13"/>
      <c r="G1370" s="48"/>
      <c r="H1370" s="20"/>
      <c r="I1370" s="21"/>
    </row>
    <row r="1371" spans="1:9">
      <c r="A1371" s="8"/>
      <c r="B1371" s="19"/>
      <c r="C1371" s="19"/>
      <c r="D1371" s="17">
        <f t="shared" si="76"/>
        <v>0</v>
      </c>
      <c r="E1371" s="2" t="e">
        <f t="shared" si="77"/>
        <v>#DIV/0!</v>
      </c>
      <c r="F1371" s="13"/>
      <c r="G1371" s="48"/>
      <c r="H1371" s="20"/>
      <c r="I1371" s="21"/>
    </row>
    <row r="1372" spans="1:9">
      <c r="A1372" s="8"/>
      <c r="B1372" s="19"/>
      <c r="C1372" s="19"/>
      <c r="D1372" s="17">
        <f t="shared" si="76"/>
        <v>0</v>
      </c>
      <c r="E1372" s="2" t="e">
        <f t="shared" si="77"/>
        <v>#DIV/0!</v>
      </c>
      <c r="F1372" s="13"/>
      <c r="G1372" s="48"/>
      <c r="H1372" s="20"/>
      <c r="I1372" s="21"/>
    </row>
    <row r="1373" spans="1:9">
      <c r="A1373" s="8"/>
      <c r="B1373" s="19"/>
      <c r="C1373" s="19"/>
      <c r="D1373" s="17">
        <f t="shared" si="76"/>
        <v>0</v>
      </c>
      <c r="E1373" s="2" t="e">
        <f t="shared" si="77"/>
        <v>#DIV/0!</v>
      </c>
      <c r="F1373" s="13"/>
      <c r="G1373" s="48"/>
      <c r="H1373" s="20"/>
      <c r="I1373" s="21"/>
    </row>
    <row r="1374" spans="1:9">
      <c r="A1374" s="8"/>
      <c r="B1374" s="19"/>
      <c r="C1374" s="19"/>
      <c r="D1374" s="17">
        <f t="shared" si="76"/>
        <v>0</v>
      </c>
      <c r="E1374" s="2" t="e">
        <f t="shared" si="77"/>
        <v>#DIV/0!</v>
      </c>
      <c r="F1374" s="13"/>
      <c r="G1374" s="48"/>
      <c r="H1374" s="20"/>
      <c r="I1374" s="21"/>
    </row>
    <row r="1375" spans="1:9">
      <c r="A1375" s="8"/>
      <c r="B1375" s="19"/>
      <c r="C1375" s="19"/>
      <c r="D1375" s="17">
        <f t="shared" si="76"/>
        <v>0</v>
      </c>
      <c r="E1375" s="2" t="e">
        <f t="shared" si="77"/>
        <v>#DIV/0!</v>
      </c>
      <c r="F1375" s="13"/>
      <c r="G1375" s="48"/>
      <c r="H1375" s="20"/>
      <c r="I1375" s="21"/>
    </row>
    <row r="1376" spans="1:9">
      <c r="A1376" s="8"/>
      <c r="B1376" s="19"/>
      <c r="C1376" s="19"/>
      <c r="D1376" s="17">
        <f t="shared" si="76"/>
        <v>0</v>
      </c>
      <c r="E1376" s="2" t="e">
        <f t="shared" si="77"/>
        <v>#DIV/0!</v>
      </c>
      <c r="F1376" s="13"/>
      <c r="G1376" s="48"/>
      <c r="H1376" s="20"/>
      <c r="I1376" s="21"/>
    </row>
    <row r="1377" spans="1:9">
      <c r="A1377" s="8"/>
      <c r="B1377" s="19"/>
      <c r="C1377" s="19"/>
      <c r="D1377" s="17">
        <f t="shared" si="76"/>
        <v>0</v>
      </c>
      <c r="E1377" s="2" t="e">
        <f t="shared" si="77"/>
        <v>#DIV/0!</v>
      </c>
      <c r="F1377" s="13"/>
      <c r="G1377" s="48"/>
      <c r="H1377" s="20"/>
      <c r="I1377" s="21"/>
    </row>
    <row r="1378" spans="1:9">
      <c r="A1378" s="8"/>
      <c r="B1378" s="19"/>
      <c r="C1378" s="19"/>
      <c r="D1378" s="17">
        <f t="shared" si="76"/>
        <v>0</v>
      </c>
      <c r="E1378" s="2" t="e">
        <f t="shared" si="77"/>
        <v>#DIV/0!</v>
      </c>
      <c r="F1378" s="13"/>
      <c r="G1378" s="48"/>
      <c r="H1378" s="20"/>
      <c r="I1378" s="21"/>
    </row>
    <row r="1379" spans="1:9">
      <c r="A1379" s="8"/>
      <c r="B1379" s="19"/>
      <c r="C1379" s="19"/>
      <c r="D1379" s="17">
        <f t="shared" si="76"/>
        <v>0</v>
      </c>
      <c r="E1379" s="2" t="e">
        <f t="shared" si="77"/>
        <v>#DIV/0!</v>
      </c>
      <c r="F1379" s="13"/>
      <c r="G1379" s="48"/>
      <c r="H1379" s="20"/>
      <c r="I1379" s="21"/>
    </row>
    <row r="1380" spans="1:9">
      <c r="A1380" s="8"/>
      <c r="B1380" s="19"/>
      <c r="C1380" s="19"/>
      <c r="D1380" s="17">
        <f t="shared" si="76"/>
        <v>0</v>
      </c>
      <c r="E1380" s="2" t="e">
        <f t="shared" si="77"/>
        <v>#DIV/0!</v>
      </c>
      <c r="F1380" s="13"/>
      <c r="G1380" s="48"/>
      <c r="H1380" s="20"/>
      <c r="I1380" s="21"/>
    </row>
    <row r="1381" spans="1:9">
      <c r="A1381" s="8"/>
      <c r="B1381" s="19"/>
      <c r="C1381" s="19"/>
      <c r="D1381" s="17">
        <f t="shared" si="76"/>
        <v>0</v>
      </c>
      <c r="E1381" s="2" t="e">
        <f t="shared" si="77"/>
        <v>#DIV/0!</v>
      </c>
      <c r="F1381" s="13"/>
      <c r="G1381" s="48"/>
      <c r="H1381" s="20"/>
      <c r="I1381" s="21"/>
    </row>
    <row r="1382" spans="1:9">
      <c r="A1382" s="8"/>
      <c r="B1382" s="19"/>
      <c r="C1382" s="19"/>
      <c r="D1382" s="17">
        <f t="shared" si="76"/>
        <v>0</v>
      </c>
      <c r="E1382" s="2" t="e">
        <f t="shared" si="77"/>
        <v>#DIV/0!</v>
      </c>
      <c r="F1382" s="13"/>
      <c r="G1382" s="48"/>
      <c r="H1382" s="20"/>
      <c r="I1382" s="21"/>
    </row>
    <row r="1383" spans="1:9">
      <c r="A1383" s="8"/>
      <c r="B1383" s="19"/>
      <c r="C1383" s="19"/>
      <c r="D1383" s="17">
        <f t="shared" si="76"/>
        <v>0</v>
      </c>
      <c r="E1383" s="2" t="e">
        <f t="shared" si="77"/>
        <v>#DIV/0!</v>
      </c>
      <c r="F1383" s="13"/>
      <c r="G1383" s="48"/>
      <c r="H1383" s="20"/>
      <c r="I1383" s="21"/>
    </row>
    <row r="1384" spans="1:9">
      <c r="A1384" s="8"/>
      <c r="B1384" s="19"/>
      <c r="C1384" s="19"/>
      <c r="D1384" s="17">
        <f t="shared" si="76"/>
        <v>0</v>
      </c>
      <c r="E1384" s="2" t="e">
        <f t="shared" si="77"/>
        <v>#DIV/0!</v>
      </c>
      <c r="F1384" s="13"/>
      <c r="G1384" s="48"/>
      <c r="H1384" s="20"/>
      <c r="I1384" s="21"/>
    </row>
    <row r="1385" spans="1:9">
      <c r="A1385" s="8"/>
      <c r="B1385" s="19"/>
      <c r="C1385" s="19"/>
      <c r="D1385" s="17">
        <f t="shared" si="76"/>
        <v>0</v>
      </c>
      <c r="E1385" s="2" t="e">
        <f t="shared" si="77"/>
        <v>#DIV/0!</v>
      </c>
      <c r="F1385" s="13"/>
      <c r="G1385" s="48"/>
      <c r="H1385" s="20"/>
      <c r="I1385" s="21"/>
    </row>
    <row r="1386" spans="1:9">
      <c r="A1386" s="8"/>
      <c r="B1386" s="19"/>
      <c r="C1386" s="19"/>
      <c r="D1386" s="17">
        <f t="shared" si="76"/>
        <v>0</v>
      </c>
      <c r="E1386" s="2" t="e">
        <f t="shared" si="77"/>
        <v>#DIV/0!</v>
      </c>
      <c r="F1386" s="13"/>
      <c r="G1386" s="48"/>
      <c r="H1386" s="20"/>
      <c r="I1386" s="21"/>
    </row>
    <row r="1387" spans="1:9">
      <c r="A1387" s="8"/>
      <c r="B1387" s="19"/>
      <c r="C1387" s="19"/>
      <c r="D1387" s="17">
        <f t="shared" si="76"/>
        <v>0</v>
      </c>
      <c r="E1387" s="2" t="e">
        <f t="shared" si="77"/>
        <v>#DIV/0!</v>
      </c>
      <c r="F1387" s="13"/>
      <c r="G1387" s="48"/>
      <c r="H1387" s="20"/>
      <c r="I1387" s="21"/>
    </row>
    <row r="1388" spans="1:9">
      <c r="A1388" s="8"/>
      <c r="B1388" s="19"/>
      <c r="C1388" s="19"/>
      <c r="D1388" s="17">
        <f t="shared" si="76"/>
        <v>0</v>
      </c>
      <c r="E1388" s="2" t="e">
        <f t="shared" si="77"/>
        <v>#DIV/0!</v>
      </c>
      <c r="F1388" s="13"/>
      <c r="G1388" s="48"/>
      <c r="H1388" s="20"/>
      <c r="I1388" s="21"/>
    </row>
    <row r="1389" spans="1:9">
      <c r="A1389" s="8"/>
      <c r="B1389" s="19"/>
      <c r="C1389" s="19"/>
      <c r="D1389" s="17">
        <f t="shared" si="76"/>
        <v>0</v>
      </c>
      <c r="E1389" s="2" t="e">
        <f t="shared" si="77"/>
        <v>#DIV/0!</v>
      </c>
      <c r="F1389" s="13"/>
      <c r="G1389" s="48"/>
      <c r="H1389" s="20"/>
      <c r="I1389" s="21"/>
    </row>
    <row r="1390" spans="1:9">
      <c r="A1390" s="8"/>
      <c r="B1390" s="19"/>
      <c r="C1390" s="19"/>
      <c r="D1390" s="17">
        <f t="shared" si="76"/>
        <v>0</v>
      </c>
      <c r="E1390" s="2" t="e">
        <f t="shared" si="77"/>
        <v>#DIV/0!</v>
      </c>
      <c r="F1390" s="13"/>
      <c r="G1390" s="48"/>
      <c r="H1390" s="20"/>
      <c r="I1390" s="21"/>
    </row>
    <row r="1391" spans="1:9">
      <c r="A1391" s="8"/>
      <c r="B1391" s="19"/>
      <c r="C1391" s="19"/>
      <c r="D1391" s="17">
        <f t="shared" si="76"/>
        <v>0</v>
      </c>
      <c r="E1391" s="2" t="e">
        <f t="shared" si="77"/>
        <v>#DIV/0!</v>
      </c>
      <c r="F1391" s="13"/>
      <c r="G1391" s="48"/>
      <c r="H1391" s="20"/>
      <c r="I1391" s="21"/>
    </row>
    <row r="1392" spans="1:9">
      <c r="A1392" s="8"/>
      <c r="B1392" s="19"/>
      <c r="C1392" s="19"/>
      <c r="D1392" s="17">
        <f t="shared" si="76"/>
        <v>0</v>
      </c>
      <c r="E1392" s="2" t="e">
        <f t="shared" si="77"/>
        <v>#DIV/0!</v>
      </c>
      <c r="F1392" s="13"/>
      <c r="G1392" s="48"/>
      <c r="H1392" s="20"/>
      <c r="I1392" s="21"/>
    </row>
    <row r="1393" spans="1:9">
      <c r="A1393" s="8"/>
      <c r="B1393" s="19"/>
      <c r="C1393" s="19"/>
      <c r="D1393" s="17">
        <f t="shared" si="76"/>
        <v>0</v>
      </c>
      <c r="E1393" s="2" t="e">
        <f t="shared" si="77"/>
        <v>#DIV/0!</v>
      </c>
      <c r="F1393" s="13"/>
      <c r="G1393" s="48"/>
      <c r="H1393" s="20"/>
      <c r="I1393" s="21"/>
    </row>
    <row r="1394" spans="1:9">
      <c r="A1394" s="8"/>
      <c r="B1394" s="19"/>
      <c r="C1394" s="19"/>
      <c r="D1394" s="17">
        <f t="shared" si="76"/>
        <v>0</v>
      </c>
      <c r="E1394" s="2" t="e">
        <f t="shared" si="77"/>
        <v>#DIV/0!</v>
      </c>
      <c r="F1394" s="13"/>
      <c r="G1394" s="48"/>
      <c r="H1394" s="20"/>
      <c r="I1394" s="21"/>
    </row>
    <row r="1395" spans="1:9">
      <c r="A1395" s="8"/>
      <c r="B1395" s="19"/>
      <c r="C1395" s="19"/>
      <c r="D1395" s="17">
        <f t="shared" ref="D1395:D1458" si="78">B1395-C1395</f>
        <v>0</v>
      </c>
      <c r="E1395" s="2" t="e">
        <f t="shared" ref="E1395:E1458" si="79">(B1395-C1395)/C1395</f>
        <v>#DIV/0!</v>
      </c>
      <c r="F1395" s="13"/>
      <c r="G1395" s="48"/>
      <c r="H1395" s="20"/>
      <c r="I1395" s="21"/>
    </row>
    <row r="1396" spans="1:9">
      <c r="A1396" s="8"/>
      <c r="B1396" s="19"/>
      <c r="C1396" s="19"/>
      <c r="D1396" s="17">
        <f t="shared" si="78"/>
        <v>0</v>
      </c>
      <c r="E1396" s="2" t="e">
        <f t="shared" si="79"/>
        <v>#DIV/0!</v>
      </c>
      <c r="F1396" s="13"/>
      <c r="G1396" s="48"/>
      <c r="H1396" s="20"/>
      <c r="I1396" s="21"/>
    </row>
    <row r="1397" spans="1:9">
      <c r="A1397" s="8"/>
      <c r="B1397" s="19"/>
      <c r="C1397" s="19"/>
      <c r="D1397" s="17">
        <f t="shared" si="78"/>
        <v>0</v>
      </c>
      <c r="E1397" s="2" t="e">
        <f t="shared" si="79"/>
        <v>#DIV/0!</v>
      </c>
      <c r="F1397" s="13"/>
      <c r="G1397" s="48"/>
      <c r="H1397" s="20"/>
      <c r="I1397" s="21"/>
    </row>
    <row r="1398" spans="1:9">
      <c r="A1398" s="8"/>
      <c r="B1398" s="19"/>
      <c r="C1398" s="19"/>
      <c r="D1398" s="17">
        <f t="shared" si="78"/>
        <v>0</v>
      </c>
      <c r="E1398" s="2" t="e">
        <f t="shared" si="79"/>
        <v>#DIV/0!</v>
      </c>
      <c r="F1398" s="13"/>
      <c r="G1398" s="48"/>
      <c r="H1398" s="20"/>
      <c r="I1398" s="21"/>
    </row>
    <row r="1399" spans="1:9">
      <c r="A1399" s="8"/>
      <c r="B1399" s="19"/>
      <c r="C1399" s="19"/>
      <c r="D1399" s="17">
        <f t="shared" si="78"/>
        <v>0</v>
      </c>
      <c r="E1399" s="2" t="e">
        <f t="shared" si="79"/>
        <v>#DIV/0!</v>
      </c>
      <c r="F1399" s="13"/>
      <c r="G1399" s="48"/>
      <c r="H1399" s="20"/>
      <c r="I1399" s="21"/>
    </row>
    <row r="1400" spans="1:9">
      <c r="A1400" s="8"/>
      <c r="B1400" s="19"/>
      <c r="C1400" s="19"/>
      <c r="D1400" s="17">
        <f t="shared" si="78"/>
        <v>0</v>
      </c>
      <c r="E1400" s="2" t="e">
        <f t="shared" si="79"/>
        <v>#DIV/0!</v>
      </c>
      <c r="F1400" s="13"/>
      <c r="G1400" s="48"/>
      <c r="H1400" s="20"/>
      <c r="I1400" s="21"/>
    </row>
    <row r="1401" spans="1:9">
      <c r="A1401" s="8"/>
      <c r="B1401" s="19"/>
      <c r="C1401" s="19"/>
      <c r="D1401" s="17">
        <f t="shared" si="78"/>
        <v>0</v>
      </c>
      <c r="E1401" s="2" t="e">
        <f t="shared" si="79"/>
        <v>#DIV/0!</v>
      </c>
      <c r="F1401" s="13"/>
      <c r="G1401" s="48"/>
      <c r="H1401" s="20"/>
      <c r="I1401" s="21"/>
    </row>
    <row r="1402" spans="1:9">
      <c r="A1402" s="8"/>
      <c r="B1402" s="19"/>
      <c r="C1402" s="19"/>
      <c r="D1402" s="17">
        <f t="shared" si="78"/>
        <v>0</v>
      </c>
      <c r="E1402" s="2" t="e">
        <f t="shared" si="79"/>
        <v>#DIV/0!</v>
      </c>
      <c r="F1402" s="13"/>
      <c r="G1402" s="48"/>
      <c r="H1402" s="20"/>
      <c r="I1402" s="21"/>
    </row>
    <row r="1403" spans="1:9">
      <c r="A1403" s="8"/>
      <c r="B1403" s="19"/>
      <c r="C1403" s="19"/>
      <c r="D1403" s="17">
        <f t="shared" si="78"/>
        <v>0</v>
      </c>
      <c r="E1403" s="2" t="e">
        <f t="shared" si="79"/>
        <v>#DIV/0!</v>
      </c>
      <c r="F1403" s="13"/>
      <c r="G1403" s="48"/>
      <c r="H1403" s="20"/>
      <c r="I1403" s="21"/>
    </row>
    <row r="1404" spans="1:9">
      <c r="A1404" s="8"/>
      <c r="B1404" s="19"/>
      <c r="C1404" s="19"/>
      <c r="D1404" s="17">
        <f t="shared" si="78"/>
        <v>0</v>
      </c>
      <c r="E1404" s="2" t="e">
        <f t="shared" si="79"/>
        <v>#DIV/0!</v>
      </c>
      <c r="F1404" s="13"/>
      <c r="G1404" s="48"/>
      <c r="H1404" s="20"/>
      <c r="I1404" s="21"/>
    </row>
    <row r="1405" spans="1:9">
      <c r="A1405" s="8"/>
      <c r="B1405" s="19"/>
      <c r="C1405" s="19"/>
      <c r="D1405" s="17">
        <f t="shared" si="78"/>
        <v>0</v>
      </c>
      <c r="E1405" s="2" t="e">
        <f t="shared" si="79"/>
        <v>#DIV/0!</v>
      </c>
      <c r="F1405" s="13"/>
      <c r="G1405" s="48"/>
      <c r="H1405" s="20"/>
      <c r="I1405" s="21"/>
    </row>
    <row r="1406" spans="1:9">
      <c r="A1406" s="8"/>
      <c r="B1406" s="19"/>
      <c r="C1406" s="19"/>
      <c r="D1406" s="17">
        <f t="shared" si="78"/>
        <v>0</v>
      </c>
      <c r="E1406" s="2" t="e">
        <f t="shared" si="79"/>
        <v>#DIV/0!</v>
      </c>
      <c r="F1406" s="13"/>
      <c r="G1406" s="48"/>
      <c r="H1406" s="20"/>
      <c r="I1406" s="21"/>
    </row>
    <row r="1407" spans="1:9">
      <c r="A1407" s="8"/>
      <c r="B1407" s="19"/>
      <c r="C1407" s="19"/>
      <c r="D1407" s="17">
        <f t="shared" si="78"/>
        <v>0</v>
      </c>
      <c r="E1407" s="2" t="e">
        <f t="shared" si="79"/>
        <v>#DIV/0!</v>
      </c>
      <c r="F1407" s="13"/>
      <c r="G1407" s="48"/>
      <c r="H1407" s="20"/>
      <c r="I1407" s="21"/>
    </row>
    <row r="1408" spans="1:9">
      <c r="A1408" s="8"/>
      <c r="B1408" s="19"/>
      <c r="C1408" s="19"/>
      <c r="D1408" s="17">
        <f t="shared" si="78"/>
        <v>0</v>
      </c>
      <c r="E1408" s="2" t="e">
        <f t="shared" si="79"/>
        <v>#DIV/0!</v>
      </c>
      <c r="F1408" s="13"/>
      <c r="G1408" s="48"/>
      <c r="H1408" s="20"/>
      <c r="I1408" s="21"/>
    </row>
    <row r="1409" spans="1:9">
      <c r="A1409" s="8"/>
      <c r="B1409" s="19"/>
      <c r="C1409" s="19"/>
      <c r="D1409" s="17">
        <f t="shared" si="78"/>
        <v>0</v>
      </c>
      <c r="E1409" s="2" t="e">
        <f t="shared" si="79"/>
        <v>#DIV/0!</v>
      </c>
      <c r="F1409" s="13"/>
      <c r="G1409" s="48"/>
      <c r="H1409" s="20"/>
      <c r="I1409" s="21"/>
    </row>
    <row r="1410" spans="1:9">
      <c r="A1410" s="8"/>
      <c r="B1410" s="19"/>
      <c r="C1410" s="19"/>
      <c r="D1410" s="17">
        <f t="shared" si="78"/>
        <v>0</v>
      </c>
      <c r="E1410" s="2" t="e">
        <f t="shared" si="79"/>
        <v>#DIV/0!</v>
      </c>
      <c r="F1410" s="13"/>
      <c r="G1410" s="48"/>
      <c r="H1410" s="20"/>
      <c r="I1410" s="21"/>
    </row>
    <row r="1411" spans="1:9">
      <c r="A1411" s="8"/>
      <c r="B1411" s="19"/>
      <c r="C1411" s="19"/>
      <c r="D1411" s="17">
        <f t="shared" si="78"/>
        <v>0</v>
      </c>
      <c r="E1411" s="2" t="e">
        <f t="shared" si="79"/>
        <v>#DIV/0!</v>
      </c>
      <c r="F1411" s="13"/>
      <c r="G1411" s="48"/>
      <c r="H1411" s="20"/>
      <c r="I1411" s="21"/>
    </row>
    <row r="1412" spans="1:9">
      <c r="A1412" s="8"/>
      <c r="B1412" s="19"/>
      <c r="C1412" s="19"/>
      <c r="D1412" s="17">
        <f t="shared" si="78"/>
        <v>0</v>
      </c>
      <c r="E1412" s="2" t="e">
        <f t="shared" si="79"/>
        <v>#DIV/0!</v>
      </c>
      <c r="F1412" s="13"/>
      <c r="G1412" s="48"/>
      <c r="H1412" s="20"/>
      <c r="I1412" s="21"/>
    </row>
    <row r="1413" spans="1:9">
      <c r="A1413" s="8"/>
      <c r="B1413" s="19"/>
      <c r="C1413" s="19"/>
      <c r="D1413" s="17">
        <f t="shared" si="78"/>
        <v>0</v>
      </c>
      <c r="E1413" s="2" t="e">
        <f t="shared" si="79"/>
        <v>#DIV/0!</v>
      </c>
      <c r="F1413" s="13"/>
      <c r="G1413" s="48"/>
      <c r="H1413" s="20"/>
      <c r="I1413" s="21"/>
    </row>
    <row r="1414" spans="1:9">
      <c r="A1414" s="8"/>
      <c r="B1414" s="19"/>
      <c r="C1414" s="19"/>
      <c r="D1414" s="17">
        <f t="shared" si="78"/>
        <v>0</v>
      </c>
      <c r="E1414" s="2" t="e">
        <f t="shared" si="79"/>
        <v>#DIV/0!</v>
      </c>
      <c r="F1414" s="13"/>
      <c r="G1414" s="48"/>
      <c r="H1414" s="20"/>
      <c r="I1414" s="21"/>
    </row>
    <row r="1415" spans="1:9">
      <c r="A1415" s="8"/>
      <c r="B1415" s="19"/>
      <c r="C1415" s="19"/>
      <c r="D1415" s="17">
        <f t="shared" si="78"/>
        <v>0</v>
      </c>
      <c r="E1415" s="2" t="e">
        <f t="shared" si="79"/>
        <v>#DIV/0!</v>
      </c>
      <c r="F1415" s="13"/>
      <c r="G1415" s="48"/>
      <c r="H1415" s="20"/>
      <c r="I1415" s="21"/>
    </row>
    <row r="1416" spans="1:9">
      <c r="A1416" s="8"/>
      <c r="B1416" s="19"/>
      <c r="C1416" s="19"/>
      <c r="D1416" s="17">
        <f t="shared" si="78"/>
        <v>0</v>
      </c>
      <c r="E1416" s="2" t="e">
        <f t="shared" si="79"/>
        <v>#DIV/0!</v>
      </c>
      <c r="F1416" s="13"/>
      <c r="G1416" s="48"/>
      <c r="H1416" s="20"/>
      <c r="I1416" s="21"/>
    </row>
    <row r="1417" spans="1:9">
      <c r="A1417" s="8"/>
      <c r="B1417" s="19"/>
      <c r="C1417" s="19"/>
      <c r="D1417" s="17">
        <f t="shared" si="78"/>
        <v>0</v>
      </c>
      <c r="E1417" s="2" t="e">
        <f t="shared" si="79"/>
        <v>#DIV/0!</v>
      </c>
      <c r="F1417" s="13"/>
      <c r="G1417" s="48"/>
      <c r="H1417" s="20"/>
      <c r="I1417" s="21"/>
    </row>
    <row r="1418" spans="1:9">
      <c r="A1418" s="8"/>
      <c r="B1418" s="19"/>
      <c r="C1418" s="19"/>
      <c r="D1418" s="17">
        <f t="shared" si="78"/>
        <v>0</v>
      </c>
      <c r="E1418" s="2" t="e">
        <f t="shared" si="79"/>
        <v>#DIV/0!</v>
      </c>
      <c r="F1418" s="13"/>
      <c r="G1418" s="48"/>
      <c r="H1418" s="20"/>
      <c r="I1418" s="21"/>
    </row>
    <row r="1419" spans="1:9">
      <c r="A1419" s="8"/>
      <c r="B1419" s="19"/>
      <c r="C1419" s="19"/>
      <c r="D1419" s="17">
        <f t="shared" si="78"/>
        <v>0</v>
      </c>
      <c r="E1419" s="2" t="e">
        <f t="shared" si="79"/>
        <v>#DIV/0!</v>
      </c>
      <c r="F1419" s="13"/>
      <c r="G1419" s="48"/>
      <c r="H1419" s="20"/>
      <c r="I1419" s="21"/>
    </row>
    <row r="1420" spans="1:9">
      <c r="A1420" s="8"/>
      <c r="B1420" s="19"/>
      <c r="C1420" s="19"/>
      <c r="D1420" s="17">
        <f t="shared" si="78"/>
        <v>0</v>
      </c>
      <c r="E1420" s="2" t="e">
        <f t="shared" si="79"/>
        <v>#DIV/0!</v>
      </c>
      <c r="F1420" s="13"/>
      <c r="G1420" s="48"/>
      <c r="H1420" s="20"/>
      <c r="I1420" s="21"/>
    </row>
    <row r="1421" spans="1:9">
      <c r="A1421" s="8"/>
      <c r="B1421" s="19"/>
      <c r="C1421" s="19"/>
      <c r="D1421" s="17">
        <f t="shared" si="78"/>
        <v>0</v>
      </c>
      <c r="E1421" s="2" t="e">
        <f t="shared" si="79"/>
        <v>#DIV/0!</v>
      </c>
      <c r="F1421" s="13"/>
      <c r="G1421" s="48"/>
      <c r="H1421" s="20"/>
      <c r="I1421" s="21"/>
    </row>
    <row r="1422" spans="1:9">
      <c r="A1422" s="8"/>
      <c r="B1422" s="19"/>
      <c r="C1422" s="19"/>
      <c r="D1422" s="17">
        <f t="shared" si="78"/>
        <v>0</v>
      </c>
      <c r="E1422" s="2" t="e">
        <f t="shared" si="79"/>
        <v>#DIV/0!</v>
      </c>
      <c r="F1422" s="13"/>
      <c r="G1422" s="48"/>
      <c r="H1422" s="20"/>
      <c r="I1422" s="21"/>
    </row>
    <row r="1423" spans="1:9">
      <c r="A1423" s="8"/>
      <c r="B1423" s="19"/>
      <c r="C1423" s="19"/>
      <c r="D1423" s="17">
        <f t="shared" si="78"/>
        <v>0</v>
      </c>
      <c r="E1423" s="2" t="e">
        <f t="shared" si="79"/>
        <v>#DIV/0!</v>
      </c>
      <c r="F1423" s="13"/>
      <c r="G1423" s="48"/>
      <c r="H1423" s="20"/>
      <c r="I1423" s="21"/>
    </row>
    <row r="1424" spans="1:9">
      <c r="A1424" s="8"/>
      <c r="B1424" s="19"/>
      <c r="C1424" s="19"/>
      <c r="D1424" s="17">
        <f t="shared" si="78"/>
        <v>0</v>
      </c>
      <c r="E1424" s="2" t="e">
        <f t="shared" si="79"/>
        <v>#DIV/0!</v>
      </c>
      <c r="F1424" s="13"/>
      <c r="G1424" s="48"/>
      <c r="H1424" s="20"/>
      <c r="I1424" s="21"/>
    </row>
    <row r="1425" spans="1:9">
      <c r="A1425" s="8"/>
      <c r="B1425" s="19"/>
      <c r="C1425" s="19"/>
      <c r="D1425" s="17">
        <f t="shared" si="78"/>
        <v>0</v>
      </c>
      <c r="E1425" s="2" t="e">
        <f t="shared" si="79"/>
        <v>#DIV/0!</v>
      </c>
      <c r="F1425" s="13"/>
      <c r="G1425" s="48"/>
      <c r="H1425" s="20"/>
      <c r="I1425" s="21"/>
    </row>
    <row r="1426" spans="1:9">
      <c r="A1426" s="8"/>
      <c r="B1426" s="19"/>
      <c r="C1426" s="19"/>
      <c r="D1426" s="17">
        <f t="shared" si="78"/>
        <v>0</v>
      </c>
      <c r="E1426" s="2" t="e">
        <f t="shared" si="79"/>
        <v>#DIV/0!</v>
      </c>
      <c r="F1426" s="13"/>
      <c r="G1426" s="48"/>
      <c r="H1426" s="20"/>
      <c r="I1426" s="21"/>
    </row>
    <row r="1427" spans="1:9">
      <c r="A1427" s="8"/>
      <c r="B1427" s="19"/>
      <c r="C1427" s="19"/>
      <c r="D1427" s="17">
        <f t="shared" si="78"/>
        <v>0</v>
      </c>
      <c r="E1427" s="2" t="e">
        <f t="shared" si="79"/>
        <v>#DIV/0!</v>
      </c>
      <c r="F1427" s="13"/>
      <c r="G1427" s="48"/>
      <c r="H1427" s="20"/>
      <c r="I1427" s="21"/>
    </row>
    <row r="1428" spans="1:9">
      <c r="A1428" s="8"/>
      <c r="B1428" s="19"/>
      <c r="C1428" s="19"/>
      <c r="D1428" s="17">
        <f t="shared" si="78"/>
        <v>0</v>
      </c>
      <c r="E1428" s="2" t="e">
        <f t="shared" si="79"/>
        <v>#DIV/0!</v>
      </c>
      <c r="F1428" s="13"/>
      <c r="G1428" s="48"/>
      <c r="H1428" s="20"/>
      <c r="I1428" s="21"/>
    </row>
    <row r="1429" spans="1:9">
      <c r="A1429" s="8"/>
      <c r="B1429" s="19"/>
      <c r="C1429" s="19"/>
      <c r="D1429" s="17">
        <f t="shared" si="78"/>
        <v>0</v>
      </c>
      <c r="E1429" s="2" t="e">
        <f t="shared" si="79"/>
        <v>#DIV/0!</v>
      </c>
      <c r="F1429" s="13"/>
      <c r="G1429" s="48"/>
      <c r="H1429" s="20"/>
      <c r="I1429" s="21"/>
    </row>
    <row r="1430" spans="1:9">
      <c r="A1430" s="8"/>
      <c r="B1430" s="19"/>
      <c r="C1430" s="19"/>
      <c r="D1430" s="17">
        <f t="shared" si="78"/>
        <v>0</v>
      </c>
      <c r="E1430" s="2" t="e">
        <f t="shared" si="79"/>
        <v>#DIV/0!</v>
      </c>
      <c r="F1430" s="13"/>
      <c r="G1430" s="48"/>
      <c r="H1430" s="20"/>
      <c r="I1430" s="21"/>
    </row>
    <row r="1431" spans="1:9">
      <c r="A1431" s="8"/>
      <c r="B1431" s="19"/>
      <c r="C1431" s="19"/>
      <c r="D1431" s="17">
        <f t="shared" si="78"/>
        <v>0</v>
      </c>
      <c r="E1431" s="2" t="e">
        <f t="shared" si="79"/>
        <v>#DIV/0!</v>
      </c>
      <c r="F1431" s="13"/>
      <c r="G1431" s="48"/>
      <c r="H1431" s="20"/>
      <c r="I1431" s="21"/>
    </row>
    <row r="1432" spans="1:9">
      <c r="A1432" s="8"/>
      <c r="B1432" s="19"/>
      <c r="C1432" s="19"/>
      <c r="D1432" s="17">
        <f t="shared" si="78"/>
        <v>0</v>
      </c>
      <c r="E1432" s="2" t="e">
        <f t="shared" si="79"/>
        <v>#DIV/0!</v>
      </c>
      <c r="F1432" s="13"/>
      <c r="G1432" s="48"/>
      <c r="H1432" s="20"/>
      <c r="I1432" s="21"/>
    </row>
    <row r="1433" spans="1:9">
      <c r="A1433" s="8"/>
      <c r="B1433" s="19"/>
      <c r="C1433" s="19"/>
      <c r="D1433" s="17">
        <f t="shared" si="78"/>
        <v>0</v>
      </c>
      <c r="E1433" s="2" t="e">
        <f t="shared" si="79"/>
        <v>#DIV/0!</v>
      </c>
      <c r="F1433" s="13"/>
      <c r="G1433" s="48"/>
      <c r="H1433" s="20"/>
      <c r="I1433" s="21"/>
    </row>
    <row r="1434" spans="1:9">
      <c r="A1434" s="8"/>
      <c r="B1434" s="19"/>
      <c r="C1434" s="19"/>
      <c r="D1434" s="17">
        <f t="shared" si="78"/>
        <v>0</v>
      </c>
      <c r="E1434" s="2" t="e">
        <f t="shared" si="79"/>
        <v>#DIV/0!</v>
      </c>
      <c r="F1434" s="13"/>
      <c r="G1434" s="48"/>
      <c r="H1434" s="20"/>
      <c r="I1434" s="21"/>
    </row>
    <row r="1435" spans="1:9">
      <c r="A1435" s="8"/>
      <c r="B1435" s="19"/>
      <c r="C1435" s="19"/>
      <c r="D1435" s="17">
        <f t="shared" si="78"/>
        <v>0</v>
      </c>
      <c r="E1435" s="2" t="e">
        <f t="shared" si="79"/>
        <v>#DIV/0!</v>
      </c>
      <c r="F1435" s="13"/>
      <c r="G1435" s="48"/>
      <c r="H1435" s="20"/>
      <c r="I1435" s="21"/>
    </row>
    <row r="1436" spans="1:9">
      <c r="A1436" s="8"/>
      <c r="B1436" s="19"/>
      <c r="C1436" s="19"/>
      <c r="D1436" s="17">
        <f t="shared" si="78"/>
        <v>0</v>
      </c>
      <c r="E1436" s="2" t="e">
        <f t="shared" si="79"/>
        <v>#DIV/0!</v>
      </c>
      <c r="F1436" s="13"/>
      <c r="G1436" s="48"/>
      <c r="H1436" s="20"/>
      <c r="I1436" s="21"/>
    </row>
    <row r="1437" spans="1:9">
      <c r="A1437" s="8"/>
      <c r="B1437" s="19"/>
      <c r="C1437" s="19"/>
      <c r="D1437" s="17">
        <f t="shared" si="78"/>
        <v>0</v>
      </c>
      <c r="E1437" s="2" t="e">
        <f t="shared" si="79"/>
        <v>#DIV/0!</v>
      </c>
      <c r="F1437" s="13"/>
      <c r="G1437" s="48"/>
      <c r="H1437" s="20"/>
      <c r="I1437" s="21"/>
    </row>
    <row r="1438" spans="1:9">
      <c r="A1438" s="8"/>
      <c r="B1438" s="19"/>
      <c r="C1438" s="19"/>
      <c r="D1438" s="17">
        <f t="shared" si="78"/>
        <v>0</v>
      </c>
      <c r="E1438" s="2" t="e">
        <f t="shared" si="79"/>
        <v>#DIV/0!</v>
      </c>
      <c r="F1438" s="13"/>
      <c r="G1438" s="48"/>
      <c r="H1438" s="20"/>
      <c r="I1438" s="21"/>
    </row>
    <row r="1439" spans="1:9">
      <c r="A1439" s="8"/>
      <c r="B1439" s="19"/>
      <c r="C1439" s="19"/>
      <c r="D1439" s="17">
        <f t="shared" si="78"/>
        <v>0</v>
      </c>
      <c r="E1439" s="2" t="e">
        <f t="shared" si="79"/>
        <v>#DIV/0!</v>
      </c>
      <c r="F1439" s="13"/>
      <c r="G1439" s="48"/>
      <c r="H1439" s="20"/>
      <c r="I1439" s="21"/>
    </row>
    <row r="1440" spans="1:9">
      <c r="A1440" s="8"/>
      <c r="B1440" s="19"/>
      <c r="C1440" s="19"/>
      <c r="D1440" s="17">
        <f t="shared" si="78"/>
        <v>0</v>
      </c>
      <c r="E1440" s="2" t="e">
        <f t="shared" si="79"/>
        <v>#DIV/0!</v>
      </c>
      <c r="F1440" s="13"/>
      <c r="G1440" s="48"/>
      <c r="H1440" s="20"/>
      <c r="I1440" s="21"/>
    </row>
    <row r="1441" spans="1:9">
      <c r="A1441" s="8"/>
      <c r="B1441" s="19"/>
      <c r="C1441" s="19"/>
      <c r="D1441" s="17">
        <f t="shared" si="78"/>
        <v>0</v>
      </c>
      <c r="E1441" s="2" t="e">
        <f t="shared" si="79"/>
        <v>#DIV/0!</v>
      </c>
      <c r="F1441" s="13"/>
      <c r="G1441" s="48"/>
      <c r="H1441" s="20"/>
      <c r="I1441" s="21"/>
    </row>
    <row r="1442" spans="1:9">
      <c r="A1442" s="8"/>
      <c r="B1442" s="19"/>
      <c r="C1442" s="19"/>
      <c r="D1442" s="17">
        <f t="shared" si="78"/>
        <v>0</v>
      </c>
      <c r="E1442" s="2" t="e">
        <f t="shared" si="79"/>
        <v>#DIV/0!</v>
      </c>
      <c r="F1442" s="13"/>
      <c r="G1442" s="48"/>
      <c r="H1442" s="20"/>
      <c r="I1442" s="21"/>
    </row>
    <row r="1443" spans="1:9">
      <c r="A1443" s="8"/>
      <c r="B1443" s="19"/>
      <c r="C1443" s="19"/>
      <c r="D1443" s="17">
        <f t="shared" si="78"/>
        <v>0</v>
      </c>
      <c r="E1443" s="2" t="e">
        <f t="shared" si="79"/>
        <v>#DIV/0!</v>
      </c>
      <c r="F1443" s="13"/>
      <c r="G1443" s="48"/>
      <c r="H1443" s="20"/>
      <c r="I1443" s="21"/>
    </row>
    <row r="1444" spans="1:9">
      <c r="A1444" s="8"/>
      <c r="B1444" s="19"/>
      <c r="C1444" s="19"/>
      <c r="D1444" s="17">
        <f t="shared" si="78"/>
        <v>0</v>
      </c>
      <c r="E1444" s="2" t="e">
        <f t="shared" si="79"/>
        <v>#DIV/0!</v>
      </c>
      <c r="F1444" s="13"/>
      <c r="G1444" s="48"/>
      <c r="H1444" s="20"/>
      <c r="I1444" s="21"/>
    </row>
    <row r="1445" spans="1:9">
      <c r="A1445" s="8"/>
      <c r="B1445" s="19"/>
      <c r="C1445" s="19"/>
      <c r="D1445" s="17">
        <f t="shared" si="78"/>
        <v>0</v>
      </c>
      <c r="E1445" s="2" t="e">
        <f t="shared" si="79"/>
        <v>#DIV/0!</v>
      </c>
      <c r="F1445" s="13"/>
      <c r="G1445" s="48"/>
      <c r="H1445" s="20"/>
      <c r="I1445" s="21"/>
    </row>
    <row r="1446" spans="1:9">
      <c r="A1446" s="8"/>
      <c r="B1446" s="19"/>
      <c r="C1446" s="19"/>
      <c r="D1446" s="17">
        <f t="shared" si="78"/>
        <v>0</v>
      </c>
      <c r="E1446" s="2" t="e">
        <f t="shared" si="79"/>
        <v>#DIV/0!</v>
      </c>
      <c r="F1446" s="13"/>
      <c r="G1446" s="48"/>
      <c r="H1446" s="20"/>
      <c r="I1446" s="21"/>
    </row>
    <row r="1447" spans="1:9">
      <c r="A1447" s="8"/>
      <c r="B1447" s="19"/>
      <c r="C1447" s="19"/>
      <c r="D1447" s="17">
        <f t="shared" si="78"/>
        <v>0</v>
      </c>
      <c r="E1447" s="2" t="e">
        <f t="shared" si="79"/>
        <v>#DIV/0!</v>
      </c>
      <c r="F1447" s="13"/>
      <c r="G1447" s="48"/>
      <c r="H1447" s="20"/>
      <c r="I1447" s="21"/>
    </row>
    <row r="1448" spans="1:9">
      <c r="A1448" s="8"/>
      <c r="B1448" s="19"/>
      <c r="C1448" s="19"/>
      <c r="D1448" s="17">
        <f t="shared" si="78"/>
        <v>0</v>
      </c>
      <c r="E1448" s="2" t="e">
        <f t="shared" si="79"/>
        <v>#DIV/0!</v>
      </c>
      <c r="F1448" s="13"/>
      <c r="G1448" s="48"/>
      <c r="H1448" s="20"/>
      <c r="I1448" s="21"/>
    </row>
    <row r="1449" spans="1:9">
      <c r="A1449" s="8"/>
      <c r="B1449" s="19"/>
      <c r="C1449" s="19"/>
      <c r="D1449" s="17">
        <f t="shared" si="78"/>
        <v>0</v>
      </c>
      <c r="E1449" s="2" t="e">
        <f t="shared" si="79"/>
        <v>#DIV/0!</v>
      </c>
      <c r="F1449" s="13"/>
      <c r="G1449" s="48"/>
      <c r="H1449" s="20"/>
      <c r="I1449" s="21"/>
    </row>
    <row r="1450" spans="1:9">
      <c r="A1450" s="8"/>
      <c r="B1450" s="19"/>
      <c r="C1450" s="19"/>
      <c r="D1450" s="17">
        <f t="shared" si="78"/>
        <v>0</v>
      </c>
      <c r="E1450" s="2" t="e">
        <f t="shared" si="79"/>
        <v>#DIV/0!</v>
      </c>
      <c r="F1450" s="13"/>
      <c r="G1450" s="48"/>
      <c r="H1450" s="20"/>
      <c r="I1450" s="21"/>
    </row>
    <row r="1451" spans="1:9">
      <c r="A1451" s="8"/>
      <c r="B1451" s="19"/>
      <c r="C1451" s="19"/>
      <c r="D1451" s="17">
        <f t="shared" si="78"/>
        <v>0</v>
      </c>
      <c r="E1451" s="2" t="e">
        <f t="shared" si="79"/>
        <v>#DIV/0!</v>
      </c>
      <c r="F1451" s="13"/>
      <c r="G1451" s="48"/>
      <c r="H1451" s="20"/>
      <c r="I1451" s="21"/>
    </row>
    <row r="1452" spans="1:9">
      <c r="A1452" s="8"/>
      <c r="B1452" s="19"/>
      <c r="C1452" s="19"/>
      <c r="D1452" s="17">
        <f t="shared" si="78"/>
        <v>0</v>
      </c>
      <c r="E1452" s="2" t="e">
        <f t="shared" si="79"/>
        <v>#DIV/0!</v>
      </c>
      <c r="F1452" s="13"/>
      <c r="G1452" s="48"/>
      <c r="H1452" s="20"/>
      <c r="I1452" s="21"/>
    </row>
    <row r="1453" spans="1:9">
      <c r="A1453" s="8"/>
      <c r="B1453" s="19"/>
      <c r="C1453" s="19"/>
      <c r="D1453" s="17">
        <f t="shared" si="78"/>
        <v>0</v>
      </c>
      <c r="E1453" s="2" t="e">
        <f t="shared" si="79"/>
        <v>#DIV/0!</v>
      </c>
      <c r="F1453" s="13"/>
      <c r="G1453" s="48"/>
      <c r="H1453" s="20"/>
      <c r="I1453" s="21"/>
    </row>
    <row r="1454" spans="1:9">
      <c r="A1454" s="8"/>
      <c r="B1454" s="19"/>
      <c r="C1454" s="19"/>
      <c r="D1454" s="17">
        <f t="shared" si="78"/>
        <v>0</v>
      </c>
      <c r="E1454" s="2" t="e">
        <f t="shared" si="79"/>
        <v>#DIV/0!</v>
      </c>
      <c r="F1454" s="13"/>
      <c r="G1454" s="48"/>
      <c r="H1454" s="20"/>
      <c r="I1454" s="21"/>
    </row>
    <row r="1455" spans="1:9">
      <c r="A1455" s="8"/>
      <c r="B1455" s="19"/>
      <c r="C1455" s="19"/>
      <c r="D1455" s="17">
        <f t="shared" si="78"/>
        <v>0</v>
      </c>
      <c r="E1455" s="2" t="e">
        <f t="shared" si="79"/>
        <v>#DIV/0!</v>
      </c>
      <c r="F1455" s="13"/>
      <c r="G1455" s="48"/>
      <c r="H1455" s="20"/>
      <c r="I1455" s="21"/>
    </row>
    <row r="1456" spans="1:9">
      <c r="A1456" s="8"/>
      <c r="B1456" s="19"/>
      <c r="C1456" s="19"/>
      <c r="D1456" s="17">
        <f t="shared" si="78"/>
        <v>0</v>
      </c>
      <c r="E1456" s="2" t="e">
        <f t="shared" si="79"/>
        <v>#DIV/0!</v>
      </c>
      <c r="F1456" s="13"/>
      <c r="G1456" s="48"/>
      <c r="H1456" s="20"/>
      <c r="I1456" s="21"/>
    </row>
    <row r="1457" spans="1:9">
      <c r="A1457" s="8"/>
      <c r="B1457" s="19"/>
      <c r="C1457" s="19"/>
      <c r="D1457" s="17">
        <f t="shared" si="78"/>
        <v>0</v>
      </c>
      <c r="E1457" s="2" t="e">
        <f t="shared" si="79"/>
        <v>#DIV/0!</v>
      </c>
      <c r="F1457" s="13"/>
      <c r="G1457" s="48"/>
      <c r="H1457" s="20"/>
      <c r="I1457" s="21"/>
    </row>
    <row r="1458" spans="1:9">
      <c r="A1458" s="8"/>
      <c r="B1458" s="19"/>
      <c r="C1458" s="19"/>
      <c r="D1458" s="17">
        <f t="shared" si="78"/>
        <v>0</v>
      </c>
      <c r="E1458" s="2" t="e">
        <f t="shared" si="79"/>
        <v>#DIV/0!</v>
      </c>
      <c r="F1458" s="13"/>
      <c r="G1458" s="48"/>
      <c r="H1458" s="20"/>
      <c r="I1458" s="21"/>
    </row>
    <row r="1459" spans="1:9">
      <c r="A1459" s="8"/>
      <c r="B1459" s="19"/>
      <c r="C1459" s="19"/>
      <c r="D1459" s="17">
        <f t="shared" ref="D1459:D1522" si="80">B1459-C1459</f>
        <v>0</v>
      </c>
      <c r="E1459" s="2" t="e">
        <f t="shared" ref="E1459:E1522" si="81">(B1459-C1459)/C1459</f>
        <v>#DIV/0!</v>
      </c>
      <c r="F1459" s="13"/>
      <c r="G1459" s="48"/>
      <c r="H1459" s="20"/>
      <c r="I1459" s="21"/>
    </row>
    <row r="1460" spans="1:9">
      <c r="A1460" s="8"/>
      <c r="B1460" s="19"/>
      <c r="C1460" s="19"/>
      <c r="D1460" s="17">
        <f t="shared" si="80"/>
        <v>0</v>
      </c>
      <c r="E1460" s="2" t="e">
        <f t="shared" si="81"/>
        <v>#DIV/0!</v>
      </c>
      <c r="F1460" s="13"/>
      <c r="G1460" s="48"/>
      <c r="H1460" s="20"/>
      <c r="I1460" s="21"/>
    </row>
    <row r="1461" spans="1:9">
      <c r="A1461" s="8"/>
      <c r="B1461" s="19"/>
      <c r="C1461" s="19"/>
      <c r="D1461" s="17">
        <f t="shared" si="80"/>
        <v>0</v>
      </c>
      <c r="E1461" s="2" t="e">
        <f t="shared" si="81"/>
        <v>#DIV/0!</v>
      </c>
      <c r="F1461" s="13"/>
      <c r="G1461" s="48"/>
      <c r="H1461" s="20"/>
      <c r="I1461" s="21"/>
    </row>
    <row r="1462" spans="1:9">
      <c r="A1462" s="8"/>
      <c r="B1462" s="19"/>
      <c r="C1462" s="19"/>
      <c r="D1462" s="17">
        <f t="shared" si="80"/>
        <v>0</v>
      </c>
      <c r="E1462" s="2" t="e">
        <f t="shared" si="81"/>
        <v>#DIV/0!</v>
      </c>
      <c r="F1462" s="13"/>
      <c r="G1462" s="48"/>
      <c r="H1462" s="20"/>
      <c r="I1462" s="21"/>
    </row>
    <row r="1463" spans="1:9">
      <c r="A1463" s="8"/>
      <c r="B1463" s="19"/>
      <c r="C1463" s="19"/>
      <c r="D1463" s="17">
        <f t="shared" si="80"/>
        <v>0</v>
      </c>
      <c r="E1463" s="2" t="e">
        <f t="shared" si="81"/>
        <v>#DIV/0!</v>
      </c>
      <c r="F1463" s="13"/>
      <c r="G1463" s="48"/>
      <c r="H1463" s="20"/>
      <c r="I1463" s="21"/>
    </row>
    <row r="1464" spans="1:9">
      <c r="A1464" s="8"/>
      <c r="B1464" s="19"/>
      <c r="C1464" s="19"/>
      <c r="D1464" s="17">
        <f t="shared" si="80"/>
        <v>0</v>
      </c>
      <c r="E1464" s="2" t="e">
        <f t="shared" si="81"/>
        <v>#DIV/0!</v>
      </c>
      <c r="F1464" s="13"/>
      <c r="G1464" s="48"/>
      <c r="H1464" s="20"/>
      <c r="I1464" s="21"/>
    </row>
    <row r="1465" spans="1:9">
      <c r="A1465" s="8"/>
      <c r="B1465" s="19"/>
      <c r="C1465" s="19"/>
      <c r="D1465" s="17">
        <f t="shared" si="80"/>
        <v>0</v>
      </c>
      <c r="E1465" s="2" t="e">
        <f t="shared" si="81"/>
        <v>#DIV/0!</v>
      </c>
      <c r="F1465" s="13"/>
      <c r="G1465" s="48"/>
      <c r="H1465" s="20"/>
      <c r="I1465" s="21"/>
    </row>
    <row r="1466" spans="1:9">
      <c r="A1466" s="8"/>
      <c r="B1466" s="19"/>
      <c r="C1466" s="19"/>
      <c r="D1466" s="17">
        <f t="shared" si="80"/>
        <v>0</v>
      </c>
      <c r="E1466" s="2" t="e">
        <f t="shared" si="81"/>
        <v>#DIV/0!</v>
      </c>
      <c r="F1466" s="13"/>
      <c r="G1466" s="48"/>
      <c r="H1466" s="20"/>
      <c r="I1466" s="21"/>
    </row>
    <row r="1467" spans="1:9">
      <c r="A1467" s="8"/>
      <c r="B1467" s="19"/>
      <c r="C1467" s="19"/>
      <c r="D1467" s="17">
        <f t="shared" si="80"/>
        <v>0</v>
      </c>
      <c r="E1467" s="2" t="e">
        <f t="shared" si="81"/>
        <v>#DIV/0!</v>
      </c>
      <c r="F1467" s="13"/>
      <c r="G1467" s="48"/>
      <c r="H1467" s="20"/>
      <c r="I1467" s="21"/>
    </row>
    <row r="1468" spans="1:9">
      <c r="A1468" s="8"/>
      <c r="B1468" s="19"/>
      <c r="C1468" s="19"/>
      <c r="D1468" s="17">
        <f t="shared" si="80"/>
        <v>0</v>
      </c>
      <c r="E1468" s="2" t="e">
        <f t="shared" si="81"/>
        <v>#DIV/0!</v>
      </c>
      <c r="F1468" s="13"/>
      <c r="G1468" s="48"/>
      <c r="H1468" s="20"/>
      <c r="I1468" s="21"/>
    </row>
    <row r="1469" spans="1:9">
      <c r="A1469" s="8"/>
      <c r="B1469" s="19"/>
      <c r="C1469" s="19"/>
      <c r="D1469" s="17">
        <f t="shared" si="80"/>
        <v>0</v>
      </c>
      <c r="E1469" s="2" t="e">
        <f t="shared" si="81"/>
        <v>#DIV/0!</v>
      </c>
      <c r="F1469" s="13"/>
      <c r="G1469" s="48"/>
      <c r="H1469" s="20"/>
      <c r="I1469" s="21"/>
    </row>
    <row r="1470" spans="1:9">
      <c r="A1470" s="8"/>
      <c r="B1470" s="19"/>
      <c r="C1470" s="19"/>
      <c r="D1470" s="17">
        <f t="shared" si="80"/>
        <v>0</v>
      </c>
      <c r="E1470" s="2" t="e">
        <f t="shared" si="81"/>
        <v>#DIV/0!</v>
      </c>
      <c r="F1470" s="13"/>
      <c r="G1470" s="48"/>
      <c r="H1470" s="20"/>
      <c r="I1470" s="21"/>
    </row>
    <row r="1471" spans="1:9">
      <c r="A1471" s="8"/>
      <c r="B1471" s="19"/>
      <c r="C1471" s="19"/>
      <c r="D1471" s="17">
        <f t="shared" si="80"/>
        <v>0</v>
      </c>
      <c r="E1471" s="2" t="e">
        <f t="shared" si="81"/>
        <v>#DIV/0!</v>
      </c>
      <c r="F1471" s="13"/>
      <c r="G1471" s="48"/>
      <c r="H1471" s="20"/>
      <c r="I1471" s="21"/>
    </row>
    <row r="1472" spans="1:9">
      <c r="A1472" s="8"/>
      <c r="B1472" s="19"/>
      <c r="C1472" s="19"/>
      <c r="D1472" s="17">
        <f t="shared" si="80"/>
        <v>0</v>
      </c>
      <c r="E1472" s="2" t="e">
        <f t="shared" si="81"/>
        <v>#DIV/0!</v>
      </c>
      <c r="F1472" s="13"/>
      <c r="G1472" s="48"/>
      <c r="H1472" s="20"/>
      <c r="I1472" s="21"/>
    </row>
    <row r="1473" spans="1:9">
      <c r="A1473" s="8"/>
      <c r="B1473" s="19"/>
      <c r="C1473" s="19"/>
      <c r="D1473" s="17">
        <f t="shared" si="80"/>
        <v>0</v>
      </c>
      <c r="E1473" s="2" t="e">
        <f t="shared" si="81"/>
        <v>#DIV/0!</v>
      </c>
      <c r="F1473" s="13"/>
      <c r="G1473" s="48"/>
      <c r="H1473" s="20"/>
      <c r="I1473" s="21"/>
    </row>
    <row r="1474" spans="1:9">
      <c r="A1474" s="8"/>
      <c r="B1474" s="19"/>
      <c r="C1474" s="19"/>
      <c r="D1474" s="17">
        <f t="shared" si="80"/>
        <v>0</v>
      </c>
      <c r="E1474" s="2" t="e">
        <f t="shared" si="81"/>
        <v>#DIV/0!</v>
      </c>
      <c r="F1474" s="13"/>
      <c r="G1474" s="48"/>
      <c r="H1474" s="20"/>
      <c r="I1474" s="21"/>
    </row>
    <row r="1475" spans="1:9">
      <c r="A1475" s="8"/>
      <c r="B1475" s="19"/>
      <c r="C1475" s="19"/>
      <c r="D1475" s="17">
        <f t="shared" si="80"/>
        <v>0</v>
      </c>
      <c r="E1475" s="2" t="e">
        <f t="shared" si="81"/>
        <v>#DIV/0!</v>
      </c>
      <c r="F1475" s="13"/>
      <c r="G1475" s="48"/>
      <c r="H1475" s="20"/>
      <c r="I1475" s="21"/>
    </row>
    <row r="1476" spans="1:9">
      <c r="A1476" s="8"/>
      <c r="B1476" s="19"/>
      <c r="C1476" s="19"/>
      <c r="D1476" s="17">
        <f t="shared" si="80"/>
        <v>0</v>
      </c>
      <c r="E1476" s="2" t="e">
        <f t="shared" si="81"/>
        <v>#DIV/0!</v>
      </c>
      <c r="F1476" s="13"/>
      <c r="G1476" s="48"/>
      <c r="H1476" s="20"/>
      <c r="I1476" s="21"/>
    </row>
    <row r="1477" spans="1:9">
      <c r="A1477" s="8"/>
      <c r="B1477" s="19"/>
      <c r="C1477" s="19"/>
      <c r="D1477" s="17">
        <f t="shared" si="80"/>
        <v>0</v>
      </c>
      <c r="E1477" s="2" t="e">
        <f t="shared" si="81"/>
        <v>#DIV/0!</v>
      </c>
      <c r="F1477" s="13"/>
      <c r="G1477" s="48"/>
      <c r="H1477" s="20"/>
      <c r="I1477" s="21"/>
    </row>
    <row r="1478" spans="1:9">
      <c r="A1478" s="8"/>
      <c r="B1478" s="19"/>
      <c r="C1478" s="19"/>
      <c r="D1478" s="17">
        <f t="shared" si="80"/>
        <v>0</v>
      </c>
      <c r="E1478" s="2" t="e">
        <f t="shared" si="81"/>
        <v>#DIV/0!</v>
      </c>
      <c r="F1478" s="13"/>
      <c r="G1478" s="48"/>
      <c r="H1478" s="20"/>
      <c r="I1478" s="21"/>
    </row>
    <row r="1479" spans="1:9">
      <c r="A1479" s="8"/>
      <c r="B1479" s="19"/>
      <c r="C1479" s="19"/>
      <c r="D1479" s="17">
        <f t="shared" si="80"/>
        <v>0</v>
      </c>
      <c r="E1479" s="2" t="e">
        <f t="shared" si="81"/>
        <v>#DIV/0!</v>
      </c>
      <c r="F1479" s="13"/>
      <c r="G1479" s="48"/>
      <c r="H1479" s="20"/>
      <c r="I1479" s="21"/>
    </row>
    <row r="1480" spans="1:9">
      <c r="A1480" s="8"/>
      <c r="B1480" s="19"/>
      <c r="C1480" s="19"/>
      <c r="D1480" s="17">
        <f t="shared" si="80"/>
        <v>0</v>
      </c>
      <c r="E1480" s="2" t="e">
        <f t="shared" si="81"/>
        <v>#DIV/0!</v>
      </c>
      <c r="F1480" s="13"/>
      <c r="G1480" s="48"/>
      <c r="H1480" s="20"/>
      <c r="I1480" s="21"/>
    </row>
    <row r="1481" spans="1:9">
      <c r="A1481" s="8"/>
      <c r="B1481" s="19"/>
      <c r="C1481" s="19"/>
      <c r="D1481" s="17">
        <f t="shared" si="80"/>
        <v>0</v>
      </c>
      <c r="E1481" s="2" t="e">
        <f t="shared" si="81"/>
        <v>#DIV/0!</v>
      </c>
      <c r="F1481" s="13"/>
      <c r="G1481" s="48"/>
      <c r="H1481" s="20"/>
      <c r="I1481" s="21"/>
    </row>
    <row r="1482" spans="1:9">
      <c r="A1482" s="8"/>
      <c r="B1482" s="19"/>
      <c r="C1482" s="19"/>
      <c r="D1482" s="17">
        <f t="shared" si="80"/>
        <v>0</v>
      </c>
      <c r="E1482" s="2" t="e">
        <f t="shared" si="81"/>
        <v>#DIV/0!</v>
      </c>
      <c r="F1482" s="13"/>
      <c r="G1482" s="48"/>
      <c r="H1482" s="20"/>
      <c r="I1482" s="21"/>
    </row>
    <row r="1483" spans="1:9">
      <c r="A1483" s="8"/>
      <c r="B1483" s="19"/>
      <c r="C1483" s="19"/>
      <c r="D1483" s="17">
        <f t="shared" si="80"/>
        <v>0</v>
      </c>
      <c r="E1483" s="2" t="e">
        <f t="shared" si="81"/>
        <v>#DIV/0!</v>
      </c>
      <c r="F1483" s="13"/>
      <c r="G1483" s="48"/>
      <c r="H1483" s="20"/>
      <c r="I1483" s="21"/>
    </row>
    <row r="1484" spans="1:9">
      <c r="A1484" s="8"/>
      <c r="B1484" s="19"/>
      <c r="C1484" s="19"/>
      <c r="D1484" s="17">
        <f t="shared" si="80"/>
        <v>0</v>
      </c>
      <c r="E1484" s="2" t="e">
        <f t="shared" si="81"/>
        <v>#DIV/0!</v>
      </c>
      <c r="F1484" s="13"/>
      <c r="G1484" s="48"/>
      <c r="H1484" s="20"/>
      <c r="I1484" s="21"/>
    </row>
    <row r="1485" spans="1:9">
      <c r="A1485" s="8"/>
      <c r="B1485" s="19"/>
      <c r="C1485" s="19"/>
      <c r="D1485" s="17">
        <f t="shared" si="80"/>
        <v>0</v>
      </c>
      <c r="E1485" s="2" t="e">
        <f t="shared" si="81"/>
        <v>#DIV/0!</v>
      </c>
      <c r="F1485" s="13"/>
      <c r="G1485" s="48"/>
      <c r="H1485" s="20"/>
      <c r="I1485" s="21"/>
    </row>
    <row r="1486" spans="1:9">
      <c r="A1486" s="8"/>
      <c r="B1486" s="19"/>
      <c r="C1486" s="19"/>
      <c r="D1486" s="17">
        <f t="shared" si="80"/>
        <v>0</v>
      </c>
      <c r="E1486" s="2" t="e">
        <f t="shared" si="81"/>
        <v>#DIV/0!</v>
      </c>
      <c r="F1486" s="13"/>
      <c r="G1486" s="48"/>
      <c r="H1486" s="20"/>
      <c r="I1486" s="21"/>
    </row>
    <row r="1487" spans="1:9">
      <c r="A1487" s="8"/>
      <c r="B1487" s="19"/>
      <c r="C1487" s="19"/>
      <c r="D1487" s="17">
        <f t="shared" si="80"/>
        <v>0</v>
      </c>
      <c r="E1487" s="2" t="e">
        <f t="shared" si="81"/>
        <v>#DIV/0!</v>
      </c>
      <c r="F1487" s="13"/>
      <c r="G1487" s="48"/>
      <c r="H1487" s="20"/>
      <c r="I1487" s="21"/>
    </row>
    <row r="1488" spans="1:9">
      <c r="A1488" s="8"/>
      <c r="B1488" s="19"/>
      <c r="C1488" s="19"/>
      <c r="D1488" s="17">
        <f t="shared" si="80"/>
        <v>0</v>
      </c>
      <c r="E1488" s="2" t="e">
        <f t="shared" si="81"/>
        <v>#DIV/0!</v>
      </c>
      <c r="F1488" s="13"/>
      <c r="G1488" s="48"/>
      <c r="H1488" s="20"/>
      <c r="I1488" s="21"/>
    </row>
    <row r="1489" spans="1:9">
      <c r="A1489" s="8"/>
      <c r="B1489" s="19"/>
      <c r="C1489" s="19"/>
      <c r="D1489" s="17">
        <f t="shared" si="80"/>
        <v>0</v>
      </c>
      <c r="E1489" s="2" t="e">
        <f t="shared" si="81"/>
        <v>#DIV/0!</v>
      </c>
      <c r="F1489" s="13"/>
      <c r="G1489" s="48"/>
      <c r="H1489" s="20"/>
      <c r="I1489" s="21"/>
    </row>
    <row r="1490" spans="1:9">
      <c r="A1490" s="8"/>
      <c r="B1490" s="19"/>
      <c r="C1490" s="19"/>
      <c r="D1490" s="17">
        <f t="shared" si="80"/>
        <v>0</v>
      </c>
      <c r="E1490" s="2" t="e">
        <f t="shared" si="81"/>
        <v>#DIV/0!</v>
      </c>
      <c r="F1490" s="13"/>
      <c r="G1490" s="48"/>
      <c r="H1490" s="20"/>
      <c r="I1490" s="21"/>
    </row>
    <row r="1491" spans="1:9">
      <c r="A1491" s="8"/>
      <c r="B1491" s="19"/>
      <c r="C1491" s="19"/>
      <c r="D1491" s="17">
        <f t="shared" si="80"/>
        <v>0</v>
      </c>
      <c r="E1491" s="2" t="e">
        <f t="shared" si="81"/>
        <v>#DIV/0!</v>
      </c>
      <c r="F1491" s="13"/>
      <c r="G1491" s="48"/>
      <c r="H1491" s="20"/>
      <c r="I1491" s="21"/>
    </row>
    <row r="1492" spans="1:9">
      <c r="A1492" s="8"/>
      <c r="B1492" s="19"/>
      <c r="C1492" s="19"/>
      <c r="D1492" s="17">
        <f t="shared" si="80"/>
        <v>0</v>
      </c>
      <c r="E1492" s="2" t="e">
        <f t="shared" si="81"/>
        <v>#DIV/0!</v>
      </c>
      <c r="F1492" s="13"/>
      <c r="G1492" s="48"/>
      <c r="H1492" s="20"/>
      <c r="I1492" s="21"/>
    </row>
    <row r="1493" spans="1:9">
      <c r="A1493" s="8"/>
      <c r="B1493" s="19"/>
      <c r="C1493" s="19"/>
      <c r="D1493" s="17">
        <f t="shared" si="80"/>
        <v>0</v>
      </c>
      <c r="E1493" s="2" t="e">
        <f t="shared" si="81"/>
        <v>#DIV/0!</v>
      </c>
      <c r="F1493" s="13"/>
      <c r="G1493" s="48"/>
      <c r="H1493" s="20"/>
      <c r="I1493" s="21"/>
    </row>
    <row r="1494" spans="1:9">
      <c r="A1494" s="8"/>
      <c r="B1494" s="19"/>
      <c r="C1494" s="19"/>
      <c r="D1494" s="17">
        <f t="shared" si="80"/>
        <v>0</v>
      </c>
      <c r="E1494" s="2" t="e">
        <f t="shared" si="81"/>
        <v>#DIV/0!</v>
      </c>
      <c r="F1494" s="13"/>
      <c r="G1494" s="48"/>
      <c r="H1494" s="20"/>
      <c r="I1494" s="21"/>
    </row>
    <row r="1495" spans="1:9">
      <c r="A1495" s="8"/>
      <c r="B1495" s="19"/>
      <c r="C1495" s="19"/>
      <c r="D1495" s="17">
        <f t="shared" si="80"/>
        <v>0</v>
      </c>
      <c r="E1495" s="2" t="e">
        <f t="shared" si="81"/>
        <v>#DIV/0!</v>
      </c>
      <c r="F1495" s="13"/>
      <c r="G1495" s="48"/>
      <c r="H1495" s="20"/>
      <c r="I1495" s="21"/>
    </row>
    <row r="1496" spans="1:9">
      <c r="A1496" s="8"/>
      <c r="B1496" s="19"/>
      <c r="C1496" s="19"/>
      <c r="D1496" s="17">
        <f t="shared" si="80"/>
        <v>0</v>
      </c>
      <c r="E1496" s="2" t="e">
        <f t="shared" si="81"/>
        <v>#DIV/0!</v>
      </c>
      <c r="F1496" s="13"/>
      <c r="G1496" s="48"/>
      <c r="H1496" s="20"/>
      <c r="I1496" s="21"/>
    </row>
    <row r="1497" spans="1:9">
      <c r="A1497" s="8"/>
      <c r="B1497" s="19"/>
      <c r="C1497" s="19"/>
      <c r="D1497" s="17">
        <f t="shared" si="80"/>
        <v>0</v>
      </c>
      <c r="E1497" s="2" t="e">
        <f t="shared" si="81"/>
        <v>#DIV/0!</v>
      </c>
      <c r="F1497" s="13"/>
      <c r="G1497" s="48"/>
      <c r="H1497" s="20"/>
      <c r="I1497" s="21"/>
    </row>
    <row r="1498" spans="1:9">
      <c r="A1498" s="8"/>
      <c r="B1498" s="19"/>
      <c r="C1498" s="19"/>
      <c r="D1498" s="17">
        <f t="shared" si="80"/>
        <v>0</v>
      </c>
      <c r="E1498" s="2" t="e">
        <f t="shared" si="81"/>
        <v>#DIV/0!</v>
      </c>
      <c r="F1498" s="13"/>
      <c r="G1498" s="48"/>
      <c r="H1498" s="20"/>
      <c r="I1498" s="21"/>
    </row>
    <row r="1499" spans="1:9">
      <c r="A1499" s="8"/>
      <c r="B1499" s="19"/>
      <c r="C1499" s="19"/>
      <c r="D1499" s="17">
        <f t="shared" si="80"/>
        <v>0</v>
      </c>
      <c r="E1499" s="2" t="e">
        <f t="shared" si="81"/>
        <v>#DIV/0!</v>
      </c>
      <c r="F1499" s="13"/>
      <c r="G1499" s="48"/>
      <c r="H1499" s="20"/>
      <c r="I1499" s="21"/>
    </row>
    <row r="1500" spans="1:9">
      <c r="A1500" s="8"/>
      <c r="B1500" s="19"/>
      <c r="C1500" s="19"/>
      <c r="D1500" s="17">
        <f t="shared" si="80"/>
        <v>0</v>
      </c>
      <c r="E1500" s="2" t="e">
        <f t="shared" si="81"/>
        <v>#DIV/0!</v>
      </c>
      <c r="F1500" s="13"/>
      <c r="G1500" s="48"/>
      <c r="H1500" s="20"/>
      <c r="I1500" s="21"/>
    </row>
    <row r="1501" spans="1:9">
      <c r="A1501" s="8"/>
      <c r="B1501" s="19"/>
      <c r="C1501" s="19"/>
      <c r="D1501" s="17">
        <f t="shared" si="80"/>
        <v>0</v>
      </c>
      <c r="E1501" s="2" t="e">
        <f t="shared" si="81"/>
        <v>#DIV/0!</v>
      </c>
      <c r="F1501" s="13"/>
      <c r="G1501" s="48"/>
      <c r="H1501" s="20"/>
      <c r="I1501" s="21"/>
    </row>
    <row r="1502" spans="1:9">
      <c r="A1502" s="8"/>
      <c r="B1502" s="19"/>
      <c r="C1502" s="19"/>
      <c r="D1502" s="17">
        <f t="shared" si="80"/>
        <v>0</v>
      </c>
      <c r="E1502" s="2" t="e">
        <f t="shared" si="81"/>
        <v>#DIV/0!</v>
      </c>
      <c r="F1502" s="13"/>
      <c r="G1502" s="48"/>
      <c r="H1502" s="20"/>
      <c r="I1502" s="21"/>
    </row>
    <row r="1503" spans="1:9">
      <c r="A1503" s="8"/>
      <c r="B1503" s="19"/>
      <c r="C1503" s="19"/>
      <c r="D1503" s="17">
        <f t="shared" si="80"/>
        <v>0</v>
      </c>
      <c r="E1503" s="2" t="e">
        <f t="shared" si="81"/>
        <v>#DIV/0!</v>
      </c>
      <c r="F1503" s="13"/>
      <c r="G1503" s="48"/>
      <c r="H1503" s="20"/>
      <c r="I1503" s="21"/>
    </row>
    <row r="1504" spans="1:9">
      <c r="A1504" s="8"/>
      <c r="B1504" s="19"/>
      <c r="C1504" s="19"/>
      <c r="D1504" s="17">
        <f t="shared" si="80"/>
        <v>0</v>
      </c>
      <c r="E1504" s="2" t="e">
        <f t="shared" si="81"/>
        <v>#DIV/0!</v>
      </c>
      <c r="F1504" s="13"/>
      <c r="G1504" s="48"/>
      <c r="H1504" s="20"/>
      <c r="I1504" s="21"/>
    </row>
    <row r="1505" spans="1:9">
      <c r="A1505" s="8"/>
      <c r="B1505" s="19"/>
      <c r="C1505" s="19"/>
      <c r="D1505" s="17">
        <f t="shared" si="80"/>
        <v>0</v>
      </c>
      <c r="E1505" s="2" t="e">
        <f t="shared" si="81"/>
        <v>#DIV/0!</v>
      </c>
      <c r="F1505" s="13"/>
      <c r="G1505" s="48"/>
      <c r="H1505" s="20"/>
      <c r="I1505" s="21"/>
    </row>
    <row r="1506" spans="1:9">
      <c r="A1506" s="8"/>
      <c r="B1506" s="19"/>
      <c r="C1506" s="19"/>
      <c r="D1506" s="17">
        <f t="shared" si="80"/>
        <v>0</v>
      </c>
      <c r="E1506" s="2" t="e">
        <f t="shared" si="81"/>
        <v>#DIV/0!</v>
      </c>
      <c r="F1506" s="13"/>
      <c r="G1506" s="48"/>
      <c r="H1506" s="20"/>
      <c r="I1506" s="21"/>
    </row>
    <row r="1507" spans="1:9">
      <c r="A1507" s="8"/>
      <c r="B1507" s="19"/>
      <c r="C1507" s="19"/>
      <c r="D1507" s="17">
        <f t="shared" si="80"/>
        <v>0</v>
      </c>
      <c r="E1507" s="2" t="e">
        <f t="shared" si="81"/>
        <v>#DIV/0!</v>
      </c>
      <c r="F1507" s="13"/>
      <c r="G1507" s="48"/>
      <c r="H1507" s="20"/>
      <c r="I1507" s="21"/>
    </row>
    <row r="1508" spans="1:9">
      <c r="A1508" s="8"/>
      <c r="B1508" s="19"/>
      <c r="C1508" s="19"/>
      <c r="D1508" s="17">
        <f t="shared" si="80"/>
        <v>0</v>
      </c>
      <c r="E1508" s="2" t="e">
        <f t="shared" si="81"/>
        <v>#DIV/0!</v>
      </c>
      <c r="F1508" s="13"/>
      <c r="G1508" s="48"/>
      <c r="H1508" s="20"/>
      <c r="I1508" s="21"/>
    </row>
    <row r="1509" spans="1:9">
      <c r="A1509" s="8"/>
      <c r="B1509" s="19"/>
      <c r="C1509" s="19"/>
      <c r="D1509" s="17">
        <f t="shared" si="80"/>
        <v>0</v>
      </c>
      <c r="E1509" s="2" t="e">
        <f t="shared" si="81"/>
        <v>#DIV/0!</v>
      </c>
      <c r="F1509" s="13"/>
      <c r="G1509" s="48"/>
      <c r="H1509" s="20"/>
      <c r="I1509" s="21"/>
    </row>
    <row r="1510" spans="1:9">
      <c r="A1510" s="8"/>
      <c r="B1510" s="19"/>
      <c r="C1510" s="19"/>
      <c r="D1510" s="17">
        <f t="shared" si="80"/>
        <v>0</v>
      </c>
      <c r="E1510" s="2" t="e">
        <f t="shared" si="81"/>
        <v>#DIV/0!</v>
      </c>
      <c r="F1510" s="13"/>
      <c r="G1510" s="48"/>
      <c r="H1510" s="20"/>
      <c r="I1510" s="21"/>
    </row>
    <row r="1511" spans="1:9">
      <c r="A1511" s="8"/>
      <c r="B1511" s="19"/>
      <c r="C1511" s="19"/>
      <c r="D1511" s="17">
        <f t="shared" si="80"/>
        <v>0</v>
      </c>
      <c r="E1511" s="2" t="e">
        <f t="shared" si="81"/>
        <v>#DIV/0!</v>
      </c>
      <c r="F1511" s="13"/>
      <c r="G1511" s="48"/>
      <c r="H1511" s="20"/>
      <c r="I1511" s="21"/>
    </row>
    <row r="1512" spans="1:9">
      <c r="A1512" s="8"/>
      <c r="B1512" s="19"/>
      <c r="C1512" s="19"/>
      <c r="D1512" s="17">
        <f t="shared" si="80"/>
        <v>0</v>
      </c>
      <c r="E1512" s="2" t="e">
        <f t="shared" si="81"/>
        <v>#DIV/0!</v>
      </c>
      <c r="F1512" s="13"/>
      <c r="G1512" s="48"/>
      <c r="H1512" s="20"/>
      <c r="I1512" s="21"/>
    </row>
    <row r="1513" spans="1:9">
      <c r="A1513" s="8"/>
      <c r="B1513" s="19"/>
      <c r="C1513" s="19"/>
      <c r="D1513" s="17">
        <f t="shared" si="80"/>
        <v>0</v>
      </c>
      <c r="E1513" s="2" t="e">
        <f t="shared" si="81"/>
        <v>#DIV/0!</v>
      </c>
      <c r="F1513" s="13"/>
      <c r="G1513" s="48"/>
      <c r="H1513" s="20"/>
      <c r="I1513" s="21"/>
    </row>
    <row r="1514" spans="1:9">
      <c r="A1514" s="8"/>
      <c r="B1514" s="19"/>
      <c r="C1514" s="19"/>
      <c r="D1514" s="17">
        <f t="shared" si="80"/>
        <v>0</v>
      </c>
      <c r="E1514" s="2" t="e">
        <f t="shared" si="81"/>
        <v>#DIV/0!</v>
      </c>
      <c r="F1514" s="13"/>
      <c r="G1514" s="48"/>
      <c r="H1514" s="20"/>
      <c r="I1514" s="21"/>
    </row>
    <row r="1515" spans="1:9">
      <c r="A1515" s="8"/>
      <c r="B1515" s="19"/>
      <c r="C1515" s="19"/>
      <c r="D1515" s="17">
        <f t="shared" si="80"/>
        <v>0</v>
      </c>
      <c r="E1515" s="2" t="e">
        <f t="shared" si="81"/>
        <v>#DIV/0!</v>
      </c>
      <c r="F1515" s="13"/>
      <c r="G1515" s="48"/>
      <c r="H1515" s="20"/>
      <c r="I1515" s="21"/>
    </row>
    <row r="1516" spans="1:9">
      <c r="A1516" s="8"/>
      <c r="B1516" s="19"/>
      <c r="C1516" s="19"/>
      <c r="D1516" s="17">
        <f t="shared" si="80"/>
        <v>0</v>
      </c>
      <c r="E1516" s="2" t="e">
        <f t="shared" si="81"/>
        <v>#DIV/0!</v>
      </c>
      <c r="F1516" s="13"/>
      <c r="G1516" s="48"/>
      <c r="H1516" s="20"/>
      <c r="I1516" s="21"/>
    </row>
    <row r="1517" spans="1:9">
      <c r="A1517" s="8"/>
      <c r="B1517" s="19"/>
      <c r="C1517" s="19"/>
      <c r="D1517" s="17">
        <f t="shared" si="80"/>
        <v>0</v>
      </c>
      <c r="E1517" s="2" t="e">
        <f t="shared" si="81"/>
        <v>#DIV/0!</v>
      </c>
      <c r="F1517" s="13"/>
      <c r="G1517" s="48"/>
      <c r="H1517" s="20"/>
      <c r="I1517" s="21"/>
    </row>
    <row r="1518" spans="1:9">
      <c r="A1518" s="8"/>
      <c r="B1518" s="19"/>
      <c r="C1518" s="19"/>
      <c r="D1518" s="17">
        <f t="shared" si="80"/>
        <v>0</v>
      </c>
      <c r="E1518" s="2" t="e">
        <f t="shared" si="81"/>
        <v>#DIV/0!</v>
      </c>
      <c r="F1518" s="13"/>
      <c r="G1518" s="48"/>
      <c r="H1518" s="20"/>
      <c r="I1518" s="21"/>
    </row>
    <row r="1519" spans="1:9">
      <c r="A1519" s="8"/>
      <c r="B1519" s="19"/>
      <c r="C1519" s="19"/>
      <c r="D1519" s="17">
        <f t="shared" si="80"/>
        <v>0</v>
      </c>
      <c r="E1519" s="2" t="e">
        <f t="shared" si="81"/>
        <v>#DIV/0!</v>
      </c>
      <c r="F1519" s="13"/>
      <c r="G1519" s="48"/>
      <c r="H1519" s="20"/>
      <c r="I1519" s="21"/>
    </row>
    <row r="1520" spans="1:9">
      <c r="A1520" s="8"/>
      <c r="B1520" s="19"/>
      <c r="C1520" s="19"/>
      <c r="D1520" s="17">
        <f t="shared" si="80"/>
        <v>0</v>
      </c>
      <c r="E1520" s="2" t="e">
        <f t="shared" si="81"/>
        <v>#DIV/0!</v>
      </c>
      <c r="F1520" s="13"/>
      <c r="G1520" s="48"/>
      <c r="H1520" s="20"/>
      <c r="I1520" s="21"/>
    </row>
    <row r="1521" spans="1:9">
      <c r="A1521" s="8"/>
      <c r="B1521" s="19"/>
      <c r="C1521" s="19"/>
      <c r="D1521" s="17">
        <f t="shared" si="80"/>
        <v>0</v>
      </c>
      <c r="E1521" s="2" t="e">
        <f t="shared" si="81"/>
        <v>#DIV/0!</v>
      </c>
      <c r="F1521" s="13"/>
      <c r="G1521" s="48"/>
      <c r="H1521" s="20"/>
      <c r="I1521" s="21"/>
    </row>
    <row r="1522" spans="1:9">
      <c r="A1522" s="8"/>
      <c r="B1522" s="19"/>
      <c r="C1522" s="19"/>
      <c r="D1522" s="17">
        <f t="shared" si="80"/>
        <v>0</v>
      </c>
      <c r="E1522" s="2" t="e">
        <f t="shared" si="81"/>
        <v>#DIV/0!</v>
      </c>
      <c r="F1522" s="13"/>
      <c r="G1522" s="48"/>
      <c r="H1522" s="20"/>
      <c r="I1522" s="21"/>
    </row>
    <row r="1523" spans="1:9">
      <c r="A1523" s="8"/>
      <c r="B1523" s="19"/>
      <c r="C1523" s="19"/>
      <c r="D1523" s="17">
        <f t="shared" ref="D1523:D1586" si="82">B1523-C1523</f>
        <v>0</v>
      </c>
      <c r="E1523" s="2" t="e">
        <f t="shared" ref="E1523:E1586" si="83">(B1523-C1523)/C1523</f>
        <v>#DIV/0!</v>
      </c>
      <c r="F1523" s="13"/>
      <c r="G1523" s="48"/>
      <c r="H1523" s="20"/>
      <c r="I1523" s="21"/>
    </row>
    <row r="1524" spans="1:9">
      <c r="A1524" s="8"/>
      <c r="B1524" s="19"/>
      <c r="C1524" s="19"/>
      <c r="D1524" s="17">
        <f t="shared" si="82"/>
        <v>0</v>
      </c>
      <c r="E1524" s="2" t="e">
        <f t="shared" si="83"/>
        <v>#DIV/0!</v>
      </c>
      <c r="F1524" s="13"/>
      <c r="G1524" s="48"/>
      <c r="H1524" s="20"/>
      <c r="I1524" s="21"/>
    </row>
    <row r="1525" spans="1:9">
      <c r="A1525" s="8"/>
      <c r="B1525" s="19"/>
      <c r="C1525" s="19"/>
      <c r="D1525" s="17">
        <f t="shared" si="82"/>
        <v>0</v>
      </c>
      <c r="E1525" s="2" t="e">
        <f t="shared" si="83"/>
        <v>#DIV/0!</v>
      </c>
      <c r="F1525" s="13"/>
      <c r="G1525" s="48"/>
      <c r="H1525" s="20"/>
      <c r="I1525" s="21"/>
    </row>
    <row r="1526" spans="1:9">
      <c r="A1526" s="8"/>
      <c r="B1526" s="19"/>
      <c r="C1526" s="19"/>
      <c r="D1526" s="17">
        <f t="shared" si="82"/>
        <v>0</v>
      </c>
      <c r="E1526" s="2" t="e">
        <f t="shared" si="83"/>
        <v>#DIV/0!</v>
      </c>
      <c r="F1526" s="13"/>
      <c r="G1526" s="48"/>
      <c r="H1526" s="20"/>
      <c r="I1526" s="21"/>
    </row>
    <row r="1527" spans="1:9">
      <c r="A1527" s="8"/>
      <c r="B1527" s="19"/>
      <c r="C1527" s="19"/>
      <c r="D1527" s="17">
        <f t="shared" si="82"/>
        <v>0</v>
      </c>
      <c r="E1527" s="2" t="e">
        <f t="shared" si="83"/>
        <v>#DIV/0!</v>
      </c>
      <c r="F1527" s="13"/>
      <c r="G1527" s="48"/>
      <c r="H1527" s="20"/>
      <c r="I1527" s="21"/>
    </row>
    <row r="1528" spans="1:9">
      <c r="A1528" s="8"/>
      <c r="B1528" s="19"/>
      <c r="C1528" s="19"/>
      <c r="D1528" s="17">
        <f t="shared" si="82"/>
        <v>0</v>
      </c>
      <c r="E1528" s="2" t="e">
        <f t="shared" si="83"/>
        <v>#DIV/0!</v>
      </c>
      <c r="F1528" s="13"/>
      <c r="G1528" s="48"/>
      <c r="H1528" s="20"/>
      <c r="I1528" s="21"/>
    </row>
    <row r="1529" spans="1:9">
      <c r="A1529" s="8"/>
      <c r="B1529" s="19"/>
      <c r="C1529" s="19"/>
      <c r="D1529" s="17">
        <f t="shared" si="82"/>
        <v>0</v>
      </c>
      <c r="E1529" s="2" t="e">
        <f t="shared" si="83"/>
        <v>#DIV/0!</v>
      </c>
      <c r="F1529" s="13"/>
      <c r="G1529" s="48"/>
      <c r="H1529" s="20"/>
      <c r="I1529" s="21"/>
    </row>
    <row r="1530" spans="1:9">
      <c r="A1530" s="8"/>
      <c r="B1530" s="19"/>
      <c r="C1530" s="19"/>
      <c r="D1530" s="17">
        <f t="shared" si="82"/>
        <v>0</v>
      </c>
      <c r="E1530" s="2" t="e">
        <f t="shared" si="83"/>
        <v>#DIV/0!</v>
      </c>
      <c r="F1530" s="13"/>
      <c r="G1530" s="48"/>
      <c r="H1530" s="20"/>
      <c r="I1530" s="21"/>
    </row>
    <row r="1531" spans="1:9">
      <c r="A1531" s="8"/>
      <c r="B1531" s="19"/>
      <c r="C1531" s="19"/>
      <c r="D1531" s="17">
        <f t="shared" si="82"/>
        <v>0</v>
      </c>
      <c r="E1531" s="2" t="e">
        <f t="shared" si="83"/>
        <v>#DIV/0!</v>
      </c>
      <c r="F1531" s="13"/>
      <c r="G1531" s="48"/>
      <c r="H1531" s="20"/>
      <c r="I1531" s="21"/>
    </row>
    <row r="1532" spans="1:9">
      <c r="A1532" s="8"/>
      <c r="B1532" s="19"/>
      <c r="C1532" s="19"/>
      <c r="D1532" s="17">
        <f t="shared" si="82"/>
        <v>0</v>
      </c>
      <c r="E1532" s="2" t="e">
        <f t="shared" si="83"/>
        <v>#DIV/0!</v>
      </c>
      <c r="F1532" s="13"/>
      <c r="G1532" s="48"/>
      <c r="H1532" s="20"/>
      <c r="I1532" s="21"/>
    </row>
    <row r="1533" spans="1:9">
      <c r="A1533" s="8"/>
      <c r="B1533" s="19"/>
      <c r="C1533" s="19"/>
      <c r="D1533" s="17">
        <f t="shared" si="82"/>
        <v>0</v>
      </c>
      <c r="E1533" s="2" t="e">
        <f t="shared" si="83"/>
        <v>#DIV/0!</v>
      </c>
      <c r="F1533" s="13"/>
      <c r="G1533" s="48"/>
      <c r="H1533" s="20"/>
      <c r="I1533" s="21"/>
    </row>
    <row r="1534" spans="1:9">
      <c r="A1534" s="8"/>
      <c r="B1534" s="19"/>
      <c r="C1534" s="19"/>
      <c r="D1534" s="17">
        <f t="shared" si="82"/>
        <v>0</v>
      </c>
      <c r="E1534" s="2" t="e">
        <f t="shared" si="83"/>
        <v>#DIV/0!</v>
      </c>
      <c r="F1534" s="13"/>
      <c r="G1534" s="48"/>
      <c r="H1534" s="20"/>
      <c r="I1534" s="21"/>
    </row>
    <row r="1535" spans="1:9">
      <c r="A1535" s="8"/>
      <c r="B1535" s="19"/>
      <c r="C1535" s="19"/>
      <c r="D1535" s="17">
        <f t="shared" si="82"/>
        <v>0</v>
      </c>
      <c r="E1535" s="2" t="e">
        <f t="shared" si="83"/>
        <v>#DIV/0!</v>
      </c>
      <c r="F1535" s="13"/>
      <c r="G1535" s="48"/>
      <c r="H1535" s="20"/>
      <c r="I1535" s="21"/>
    </row>
    <row r="1536" spans="1:9">
      <c r="A1536" s="8"/>
      <c r="B1536" s="19"/>
      <c r="C1536" s="19"/>
      <c r="D1536" s="17">
        <f t="shared" si="82"/>
        <v>0</v>
      </c>
      <c r="E1536" s="2" t="e">
        <f t="shared" si="83"/>
        <v>#DIV/0!</v>
      </c>
      <c r="F1536" s="13"/>
      <c r="G1536" s="48"/>
      <c r="H1536" s="20"/>
      <c r="I1536" s="21"/>
    </row>
    <row r="1537" spans="1:9">
      <c r="A1537" s="8"/>
      <c r="B1537" s="19"/>
      <c r="C1537" s="19"/>
      <c r="D1537" s="17">
        <f t="shared" si="82"/>
        <v>0</v>
      </c>
      <c r="E1537" s="2" t="e">
        <f t="shared" si="83"/>
        <v>#DIV/0!</v>
      </c>
      <c r="F1537" s="13"/>
      <c r="G1537" s="48"/>
      <c r="H1537" s="20"/>
      <c r="I1537" s="21"/>
    </row>
    <row r="1538" spans="1:9">
      <c r="A1538" s="8"/>
      <c r="B1538" s="19"/>
      <c r="C1538" s="19"/>
      <c r="D1538" s="17">
        <f t="shared" si="82"/>
        <v>0</v>
      </c>
      <c r="E1538" s="2" t="e">
        <f t="shared" si="83"/>
        <v>#DIV/0!</v>
      </c>
      <c r="F1538" s="13"/>
      <c r="G1538" s="48"/>
      <c r="H1538" s="20"/>
      <c r="I1538" s="21"/>
    </row>
    <row r="1539" spans="1:9">
      <c r="A1539" s="8"/>
      <c r="B1539" s="19"/>
      <c r="C1539" s="19"/>
      <c r="D1539" s="17">
        <f t="shared" si="82"/>
        <v>0</v>
      </c>
      <c r="E1539" s="2" t="e">
        <f t="shared" si="83"/>
        <v>#DIV/0!</v>
      </c>
      <c r="F1539" s="13"/>
      <c r="G1539" s="48"/>
      <c r="H1539" s="20"/>
      <c r="I1539" s="21"/>
    </row>
    <row r="1540" spans="1:9">
      <c r="A1540" s="8"/>
      <c r="B1540" s="19"/>
      <c r="C1540" s="19"/>
      <c r="D1540" s="17">
        <f t="shared" si="82"/>
        <v>0</v>
      </c>
      <c r="E1540" s="2" t="e">
        <f t="shared" si="83"/>
        <v>#DIV/0!</v>
      </c>
      <c r="F1540" s="13"/>
      <c r="G1540" s="48"/>
      <c r="H1540" s="20"/>
      <c r="I1540" s="21"/>
    </row>
    <row r="1541" spans="1:9">
      <c r="A1541" s="8"/>
      <c r="B1541" s="19"/>
      <c r="C1541" s="19"/>
      <c r="D1541" s="17">
        <f t="shared" si="82"/>
        <v>0</v>
      </c>
      <c r="E1541" s="2" t="e">
        <f t="shared" si="83"/>
        <v>#DIV/0!</v>
      </c>
      <c r="F1541" s="13"/>
      <c r="G1541" s="48"/>
      <c r="H1541" s="20"/>
      <c r="I1541" s="21"/>
    </row>
    <row r="1542" spans="1:9">
      <c r="A1542" s="8"/>
      <c r="B1542" s="19"/>
      <c r="C1542" s="19"/>
      <c r="D1542" s="17">
        <f t="shared" si="82"/>
        <v>0</v>
      </c>
      <c r="E1542" s="2" t="e">
        <f t="shared" si="83"/>
        <v>#DIV/0!</v>
      </c>
      <c r="F1542" s="13"/>
      <c r="G1542" s="48"/>
      <c r="H1542" s="20"/>
      <c r="I1542" s="21"/>
    </row>
    <row r="1543" spans="1:9">
      <c r="A1543" s="8"/>
      <c r="B1543" s="19"/>
      <c r="C1543" s="19"/>
      <c r="D1543" s="17">
        <f t="shared" si="82"/>
        <v>0</v>
      </c>
      <c r="E1543" s="2" t="e">
        <f t="shared" si="83"/>
        <v>#DIV/0!</v>
      </c>
      <c r="F1543" s="13"/>
      <c r="G1543" s="48"/>
      <c r="H1543" s="20"/>
      <c r="I1543" s="21"/>
    </row>
    <row r="1544" spans="1:9">
      <c r="A1544" s="8"/>
      <c r="B1544" s="19"/>
      <c r="C1544" s="19"/>
      <c r="D1544" s="17">
        <f t="shared" si="82"/>
        <v>0</v>
      </c>
      <c r="E1544" s="2" t="e">
        <f t="shared" si="83"/>
        <v>#DIV/0!</v>
      </c>
      <c r="F1544" s="13"/>
      <c r="G1544" s="48"/>
      <c r="H1544" s="20"/>
      <c r="I1544" s="21"/>
    </row>
    <row r="1545" spans="1:9">
      <c r="A1545" s="8"/>
      <c r="B1545" s="19"/>
      <c r="C1545" s="19"/>
      <c r="D1545" s="17">
        <f t="shared" si="82"/>
        <v>0</v>
      </c>
      <c r="E1545" s="2" t="e">
        <f t="shared" si="83"/>
        <v>#DIV/0!</v>
      </c>
      <c r="F1545" s="13"/>
      <c r="G1545" s="48"/>
      <c r="H1545" s="20"/>
      <c r="I1545" s="21"/>
    </row>
    <row r="1546" spans="1:9">
      <c r="A1546" s="8"/>
      <c r="B1546" s="19"/>
      <c r="C1546" s="19"/>
      <c r="D1546" s="17">
        <f t="shared" si="82"/>
        <v>0</v>
      </c>
      <c r="E1546" s="2" t="e">
        <f t="shared" si="83"/>
        <v>#DIV/0!</v>
      </c>
      <c r="F1546" s="13"/>
      <c r="G1546" s="48"/>
      <c r="H1546" s="20"/>
      <c r="I1546" s="21"/>
    </row>
    <row r="1547" spans="1:9">
      <c r="A1547" s="8"/>
      <c r="B1547" s="19"/>
      <c r="C1547" s="19"/>
      <c r="D1547" s="17">
        <f t="shared" si="82"/>
        <v>0</v>
      </c>
      <c r="E1547" s="2" t="e">
        <f t="shared" si="83"/>
        <v>#DIV/0!</v>
      </c>
      <c r="F1547" s="13"/>
      <c r="G1547" s="48"/>
      <c r="H1547" s="20"/>
      <c r="I1547" s="21"/>
    </row>
    <row r="1548" spans="1:9">
      <c r="A1548" s="8"/>
      <c r="B1548" s="19"/>
      <c r="C1548" s="19"/>
      <c r="D1548" s="17">
        <f t="shared" si="82"/>
        <v>0</v>
      </c>
      <c r="E1548" s="2" t="e">
        <f t="shared" si="83"/>
        <v>#DIV/0!</v>
      </c>
      <c r="F1548" s="13"/>
      <c r="G1548" s="48"/>
      <c r="H1548" s="20"/>
      <c r="I1548" s="21"/>
    </row>
    <row r="1549" spans="1:9">
      <c r="A1549" s="8"/>
      <c r="B1549" s="19"/>
      <c r="C1549" s="19"/>
      <c r="D1549" s="17">
        <f t="shared" si="82"/>
        <v>0</v>
      </c>
      <c r="E1549" s="2" t="e">
        <f t="shared" si="83"/>
        <v>#DIV/0!</v>
      </c>
      <c r="F1549" s="13"/>
      <c r="G1549" s="48"/>
      <c r="H1549" s="20"/>
      <c r="I1549" s="21"/>
    </row>
    <row r="1550" spans="1:9">
      <c r="A1550" s="8"/>
      <c r="B1550" s="19"/>
      <c r="C1550" s="19"/>
      <c r="D1550" s="17">
        <f t="shared" si="82"/>
        <v>0</v>
      </c>
      <c r="E1550" s="2" t="e">
        <f t="shared" si="83"/>
        <v>#DIV/0!</v>
      </c>
      <c r="F1550" s="13"/>
      <c r="G1550" s="48"/>
      <c r="H1550" s="20"/>
      <c r="I1550" s="21"/>
    </row>
    <row r="1551" spans="1:9">
      <c r="A1551" s="8"/>
      <c r="B1551" s="19"/>
      <c r="C1551" s="19"/>
      <c r="D1551" s="17">
        <f t="shared" si="82"/>
        <v>0</v>
      </c>
      <c r="E1551" s="2" t="e">
        <f t="shared" si="83"/>
        <v>#DIV/0!</v>
      </c>
      <c r="F1551" s="13"/>
      <c r="G1551" s="48"/>
      <c r="H1551" s="20"/>
      <c r="I1551" s="21"/>
    </row>
    <row r="1552" spans="1:9">
      <c r="A1552" s="8"/>
      <c r="B1552" s="19"/>
      <c r="C1552" s="19"/>
      <c r="D1552" s="17">
        <f t="shared" si="82"/>
        <v>0</v>
      </c>
      <c r="E1552" s="2" t="e">
        <f t="shared" si="83"/>
        <v>#DIV/0!</v>
      </c>
      <c r="F1552" s="13"/>
      <c r="G1552" s="48"/>
      <c r="H1552" s="20"/>
      <c r="I1552" s="21"/>
    </row>
    <row r="1553" spans="1:9">
      <c r="A1553" s="8"/>
      <c r="B1553" s="19"/>
      <c r="C1553" s="19"/>
      <c r="D1553" s="17">
        <f t="shared" si="82"/>
        <v>0</v>
      </c>
      <c r="E1553" s="2" t="e">
        <f t="shared" si="83"/>
        <v>#DIV/0!</v>
      </c>
      <c r="F1553" s="13"/>
      <c r="G1553" s="48"/>
      <c r="H1553" s="20"/>
      <c r="I1553" s="21"/>
    </row>
    <row r="1554" spans="1:9">
      <c r="A1554" s="8"/>
      <c r="B1554" s="19"/>
      <c r="C1554" s="19"/>
      <c r="D1554" s="17">
        <f t="shared" si="82"/>
        <v>0</v>
      </c>
      <c r="E1554" s="2" t="e">
        <f t="shared" si="83"/>
        <v>#DIV/0!</v>
      </c>
      <c r="F1554" s="13"/>
      <c r="G1554" s="48"/>
      <c r="H1554" s="20"/>
      <c r="I1554" s="21"/>
    </row>
    <row r="1555" spans="1:9">
      <c r="A1555" s="8"/>
      <c r="B1555" s="19"/>
      <c r="C1555" s="19"/>
      <c r="D1555" s="17">
        <f t="shared" si="82"/>
        <v>0</v>
      </c>
      <c r="E1555" s="2" t="e">
        <f t="shared" si="83"/>
        <v>#DIV/0!</v>
      </c>
      <c r="F1555" s="13"/>
      <c r="G1555" s="48"/>
      <c r="H1555" s="20"/>
      <c r="I1555" s="21"/>
    </row>
    <row r="1556" spans="1:9">
      <c r="A1556" s="8"/>
      <c r="B1556" s="19"/>
      <c r="C1556" s="19"/>
      <c r="D1556" s="17">
        <f t="shared" si="82"/>
        <v>0</v>
      </c>
      <c r="E1556" s="2" t="e">
        <f t="shared" si="83"/>
        <v>#DIV/0!</v>
      </c>
      <c r="F1556" s="13"/>
      <c r="G1556" s="48"/>
      <c r="H1556" s="20"/>
      <c r="I1556" s="21"/>
    </row>
    <row r="1557" spans="1:9">
      <c r="A1557" s="8"/>
      <c r="B1557" s="19"/>
      <c r="C1557" s="19"/>
      <c r="D1557" s="17">
        <f t="shared" si="82"/>
        <v>0</v>
      </c>
      <c r="E1557" s="2" t="e">
        <f t="shared" si="83"/>
        <v>#DIV/0!</v>
      </c>
      <c r="F1557" s="13"/>
      <c r="G1557" s="48"/>
      <c r="H1557" s="20"/>
      <c r="I1557" s="21"/>
    </row>
    <row r="1558" spans="1:9">
      <c r="A1558" s="8"/>
      <c r="B1558" s="19"/>
      <c r="C1558" s="19"/>
      <c r="D1558" s="17">
        <f t="shared" si="82"/>
        <v>0</v>
      </c>
      <c r="E1558" s="2" t="e">
        <f t="shared" si="83"/>
        <v>#DIV/0!</v>
      </c>
      <c r="F1558" s="13"/>
      <c r="G1558" s="48"/>
      <c r="H1558" s="20"/>
      <c r="I1558" s="21"/>
    </row>
    <row r="1559" spans="1:9">
      <c r="A1559" s="8"/>
      <c r="B1559" s="19"/>
      <c r="C1559" s="19"/>
      <c r="D1559" s="17">
        <f t="shared" si="82"/>
        <v>0</v>
      </c>
      <c r="E1559" s="2" t="e">
        <f t="shared" si="83"/>
        <v>#DIV/0!</v>
      </c>
      <c r="F1559" s="13"/>
      <c r="G1559" s="48"/>
      <c r="H1559" s="20"/>
      <c r="I1559" s="21"/>
    </row>
    <row r="1560" spans="1:9">
      <c r="A1560" s="8"/>
      <c r="B1560" s="19"/>
      <c r="C1560" s="19"/>
      <c r="D1560" s="17">
        <f t="shared" si="82"/>
        <v>0</v>
      </c>
      <c r="E1560" s="2" t="e">
        <f t="shared" si="83"/>
        <v>#DIV/0!</v>
      </c>
      <c r="F1560" s="13"/>
      <c r="G1560" s="48"/>
      <c r="H1560" s="20"/>
      <c r="I1560" s="21"/>
    </row>
    <row r="1561" spans="1:9">
      <c r="A1561" s="8"/>
      <c r="B1561" s="19"/>
      <c r="C1561" s="19"/>
      <c r="D1561" s="17">
        <f t="shared" si="82"/>
        <v>0</v>
      </c>
      <c r="E1561" s="2" t="e">
        <f t="shared" si="83"/>
        <v>#DIV/0!</v>
      </c>
      <c r="F1561" s="13"/>
      <c r="G1561" s="48"/>
      <c r="H1561" s="20"/>
      <c r="I1561" s="21"/>
    </row>
    <row r="1562" spans="1:9">
      <c r="A1562" s="8"/>
      <c r="B1562" s="19"/>
      <c r="C1562" s="19"/>
      <c r="D1562" s="17">
        <f t="shared" si="82"/>
        <v>0</v>
      </c>
      <c r="E1562" s="2" t="e">
        <f t="shared" si="83"/>
        <v>#DIV/0!</v>
      </c>
      <c r="F1562" s="13"/>
      <c r="G1562" s="48"/>
      <c r="H1562" s="20"/>
      <c r="I1562" s="21"/>
    </row>
    <row r="1563" spans="1:9">
      <c r="A1563" s="8"/>
      <c r="B1563" s="19"/>
      <c r="C1563" s="19"/>
      <c r="D1563" s="17">
        <f t="shared" si="82"/>
        <v>0</v>
      </c>
      <c r="E1563" s="2" t="e">
        <f t="shared" si="83"/>
        <v>#DIV/0!</v>
      </c>
      <c r="F1563" s="13"/>
      <c r="G1563" s="48"/>
      <c r="H1563" s="20"/>
      <c r="I1563" s="21"/>
    </row>
    <row r="1564" spans="1:9">
      <c r="A1564" s="8"/>
      <c r="B1564" s="19"/>
      <c r="C1564" s="19"/>
      <c r="D1564" s="17">
        <f t="shared" si="82"/>
        <v>0</v>
      </c>
      <c r="E1564" s="2" t="e">
        <f t="shared" si="83"/>
        <v>#DIV/0!</v>
      </c>
      <c r="F1564" s="13"/>
      <c r="G1564" s="48"/>
      <c r="H1564" s="20"/>
      <c r="I1564" s="21"/>
    </row>
    <row r="1565" spans="1:9">
      <c r="A1565" s="8"/>
      <c r="B1565" s="19"/>
      <c r="C1565" s="19"/>
      <c r="D1565" s="17">
        <f t="shared" si="82"/>
        <v>0</v>
      </c>
      <c r="E1565" s="2" t="e">
        <f t="shared" si="83"/>
        <v>#DIV/0!</v>
      </c>
      <c r="F1565" s="13"/>
      <c r="G1565" s="48"/>
      <c r="H1565" s="20"/>
      <c r="I1565" s="21"/>
    </row>
    <row r="1566" spans="1:9">
      <c r="A1566" s="8"/>
      <c r="B1566" s="19"/>
      <c r="C1566" s="19"/>
      <c r="D1566" s="17">
        <f t="shared" si="82"/>
        <v>0</v>
      </c>
      <c r="E1566" s="2" t="e">
        <f t="shared" si="83"/>
        <v>#DIV/0!</v>
      </c>
      <c r="F1566" s="13"/>
      <c r="G1566" s="48"/>
      <c r="H1566" s="20"/>
      <c r="I1566" s="21"/>
    </row>
    <row r="1567" spans="1:9">
      <c r="A1567" s="8"/>
      <c r="B1567" s="19"/>
      <c r="C1567" s="19"/>
      <c r="D1567" s="17">
        <f t="shared" si="82"/>
        <v>0</v>
      </c>
      <c r="E1567" s="2" t="e">
        <f t="shared" si="83"/>
        <v>#DIV/0!</v>
      </c>
      <c r="F1567" s="13"/>
      <c r="G1567" s="48"/>
      <c r="H1567" s="20"/>
      <c r="I1567" s="21"/>
    </row>
    <row r="1568" spans="1:9">
      <c r="A1568" s="8"/>
      <c r="B1568" s="19"/>
      <c r="C1568" s="19"/>
      <c r="D1568" s="17">
        <f t="shared" si="82"/>
        <v>0</v>
      </c>
      <c r="E1568" s="2" t="e">
        <f t="shared" si="83"/>
        <v>#DIV/0!</v>
      </c>
      <c r="F1568" s="13"/>
      <c r="G1568" s="48"/>
      <c r="H1568" s="20"/>
      <c r="I1568" s="21"/>
    </row>
    <row r="1569" spans="1:9">
      <c r="A1569" s="8"/>
      <c r="B1569" s="19"/>
      <c r="C1569" s="19"/>
      <c r="D1569" s="17">
        <f t="shared" si="82"/>
        <v>0</v>
      </c>
      <c r="E1569" s="2" t="e">
        <f t="shared" si="83"/>
        <v>#DIV/0!</v>
      </c>
      <c r="F1569" s="13"/>
      <c r="G1569" s="48"/>
      <c r="H1569" s="20"/>
      <c r="I1569" s="21"/>
    </row>
    <row r="1570" spans="1:9">
      <c r="A1570" s="8"/>
      <c r="B1570" s="19"/>
      <c r="C1570" s="19"/>
      <c r="D1570" s="17">
        <f t="shared" si="82"/>
        <v>0</v>
      </c>
      <c r="E1570" s="2" t="e">
        <f t="shared" si="83"/>
        <v>#DIV/0!</v>
      </c>
      <c r="F1570" s="13"/>
      <c r="G1570" s="48"/>
      <c r="H1570" s="20"/>
      <c r="I1570" s="21"/>
    </row>
    <row r="1571" spans="1:9">
      <c r="A1571" s="8"/>
      <c r="B1571" s="19"/>
      <c r="C1571" s="19"/>
      <c r="D1571" s="17">
        <f t="shared" si="82"/>
        <v>0</v>
      </c>
      <c r="E1571" s="2" t="e">
        <f t="shared" si="83"/>
        <v>#DIV/0!</v>
      </c>
      <c r="F1571" s="13"/>
      <c r="G1571" s="48"/>
      <c r="H1571" s="20"/>
      <c r="I1571" s="21"/>
    </row>
    <row r="1572" spans="1:9">
      <c r="A1572" s="8"/>
      <c r="B1572" s="19"/>
      <c r="C1572" s="19"/>
      <c r="D1572" s="17">
        <f t="shared" si="82"/>
        <v>0</v>
      </c>
      <c r="E1572" s="2" t="e">
        <f t="shared" si="83"/>
        <v>#DIV/0!</v>
      </c>
      <c r="F1572" s="13"/>
      <c r="G1572" s="48"/>
      <c r="H1572" s="20"/>
      <c r="I1572" s="21"/>
    </row>
    <row r="1573" spans="1:9">
      <c r="A1573" s="8"/>
      <c r="B1573" s="19"/>
      <c r="C1573" s="19"/>
      <c r="D1573" s="17">
        <f t="shared" si="82"/>
        <v>0</v>
      </c>
      <c r="E1573" s="2" t="e">
        <f t="shared" si="83"/>
        <v>#DIV/0!</v>
      </c>
      <c r="F1573" s="13"/>
      <c r="G1573" s="48"/>
      <c r="H1573" s="20"/>
      <c r="I1573" s="21"/>
    </row>
    <row r="1574" spans="1:9">
      <c r="A1574" s="8"/>
      <c r="B1574" s="19"/>
      <c r="C1574" s="19"/>
      <c r="D1574" s="17">
        <f t="shared" si="82"/>
        <v>0</v>
      </c>
      <c r="E1574" s="2" t="e">
        <f t="shared" si="83"/>
        <v>#DIV/0!</v>
      </c>
      <c r="F1574" s="13"/>
      <c r="G1574" s="48"/>
      <c r="H1574" s="20"/>
      <c r="I1574" s="21"/>
    </row>
    <row r="1575" spans="1:9">
      <c r="A1575" s="8"/>
      <c r="B1575" s="19"/>
      <c r="C1575" s="19"/>
      <c r="D1575" s="17">
        <f t="shared" si="82"/>
        <v>0</v>
      </c>
      <c r="E1575" s="2" t="e">
        <f t="shared" si="83"/>
        <v>#DIV/0!</v>
      </c>
      <c r="F1575" s="13"/>
      <c r="G1575" s="48"/>
      <c r="H1575" s="20"/>
      <c r="I1575" s="21"/>
    </row>
    <row r="1576" spans="1:9">
      <c r="A1576" s="8"/>
      <c r="B1576" s="19"/>
      <c r="C1576" s="19"/>
      <c r="D1576" s="17">
        <f t="shared" si="82"/>
        <v>0</v>
      </c>
      <c r="E1576" s="2" t="e">
        <f t="shared" si="83"/>
        <v>#DIV/0!</v>
      </c>
      <c r="F1576" s="13"/>
      <c r="G1576" s="48"/>
      <c r="H1576" s="20"/>
      <c r="I1576" s="21"/>
    </row>
    <row r="1577" spans="1:9">
      <c r="A1577" s="8"/>
      <c r="B1577" s="19"/>
      <c r="C1577" s="19"/>
      <c r="D1577" s="17">
        <f t="shared" si="82"/>
        <v>0</v>
      </c>
      <c r="E1577" s="2" t="e">
        <f t="shared" si="83"/>
        <v>#DIV/0!</v>
      </c>
      <c r="F1577" s="13"/>
      <c r="G1577" s="48"/>
      <c r="H1577" s="20"/>
      <c r="I1577" s="21"/>
    </row>
    <row r="1578" spans="1:9">
      <c r="A1578" s="8"/>
      <c r="B1578" s="19"/>
      <c r="C1578" s="19"/>
      <c r="D1578" s="17">
        <f t="shared" si="82"/>
        <v>0</v>
      </c>
      <c r="E1578" s="2" t="e">
        <f t="shared" si="83"/>
        <v>#DIV/0!</v>
      </c>
      <c r="F1578" s="13"/>
      <c r="G1578" s="48"/>
      <c r="H1578" s="20"/>
      <c r="I1578" s="21"/>
    </row>
    <row r="1579" spans="1:9">
      <c r="A1579" s="8"/>
      <c r="B1579" s="19"/>
      <c r="C1579" s="19"/>
      <c r="D1579" s="17">
        <f t="shared" si="82"/>
        <v>0</v>
      </c>
      <c r="E1579" s="2" t="e">
        <f t="shared" si="83"/>
        <v>#DIV/0!</v>
      </c>
      <c r="F1579" s="13"/>
      <c r="G1579" s="48"/>
      <c r="H1579" s="20"/>
      <c r="I1579" s="21"/>
    </row>
    <row r="1580" spans="1:9">
      <c r="A1580" s="8"/>
      <c r="B1580" s="19"/>
      <c r="C1580" s="19"/>
      <c r="D1580" s="17">
        <f t="shared" si="82"/>
        <v>0</v>
      </c>
      <c r="E1580" s="2" t="e">
        <f t="shared" si="83"/>
        <v>#DIV/0!</v>
      </c>
      <c r="F1580" s="13"/>
      <c r="G1580" s="48"/>
      <c r="H1580" s="20"/>
      <c r="I1580" s="21"/>
    </row>
    <row r="1581" spans="1:9">
      <c r="A1581" s="8"/>
      <c r="B1581" s="19"/>
      <c r="C1581" s="19"/>
      <c r="D1581" s="17">
        <f t="shared" si="82"/>
        <v>0</v>
      </c>
      <c r="E1581" s="2" t="e">
        <f t="shared" si="83"/>
        <v>#DIV/0!</v>
      </c>
      <c r="F1581" s="13"/>
      <c r="G1581" s="48"/>
      <c r="H1581" s="20"/>
      <c r="I1581" s="21"/>
    </row>
    <row r="1582" spans="1:9">
      <c r="A1582" s="8"/>
      <c r="B1582" s="19"/>
      <c r="C1582" s="19"/>
      <c r="D1582" s="17">
        <f t="shared" si="82"/>
        <v>0</v>
      </c>
      <c r="E1582" s="2" t="e">
        <f t="shared" si="83"/>
        <v>#DIV/0!</v>
      </c>
      <c r="F1582" s="13"/>
      <c r="G1582" s="48"/>
      <c r="H1582" s="20"/>
      <c r="I1582" s="21"/>
    </row>
    <row r="1583" spans="1:9">
      <c r="A1583" s="8"/>
      <c r="B1583" s="19"/>
      <c r="C1583" s="19"/>
      <c r="D1583" s="17">
        <f t="shared" si="82"/>
        <v>0</v>
      </c>
      <c r="E1583" s="2" t="e">
        <f t="shared" si="83"/>
        <v>#DIV/0!</v>
      </c>
      <c r="F1583" s="13"/>
      <c r="G1583" s="48"/>
      <c r="H1583" s="20"/>
      <c r="I1583" s="21"/>
    </row>
    <row r="1584" spans="1:9">
      <c r="A1584" s="8"/>
      <c r="B1584" s="19"/>
      <c r="C1584" s="19"/>
      <c r="D1584" s="17">
        <f t="shared" si="82"/>
        <v>0</v>
      </c>
      <c r="E1584" s="2" t="e">
        <f t="shared" si="83"/>
        <v>#DIV/0!</v>
      </c>
      <c r="F1584" s="13"/>
      <c r="G1584" s="48"/>
      <c r="H1584" s="20"/>
      <c r="I1584" s="21"/>
    </row>
    <row r="1585" spans="1:9">
      <c r="A1585" s="8"/>
      <c r="B1585" s="19"/>
      <c r="C1585" s="19"/>
      <c r="D1585" s="17">
        <f t="shared" si="82"/>
        <v>0</v>
      </c>
      <c r="E1585" s="2" t="e">
        <f t="shared" si="83"/>
        <v>#DIV/0!</v>
      </c>
      <c r="F1585" s="13"/>
      <c r="G1585" s="48"/>
      <c r="H1585" s="20"/>
      <c r="I1585" s="21"/>
    </row>
    <row r="1586" spans="1:9">
      <c r="A1586" s="8"/>
      <c r="B1586" s="19"/>
      <c r="C1586" s="19"/>
      <c r="D1586" s="17">
        <f t="shared" si="82"/>
        <v>0</v>
      </c>
      <c r="E1586" s="2" t="e">
        <f t="shared" si="83"/>
        <v>#DIV/0!</v>
      </c>
      <c r="F1586" s="13"/>
      <c r="G1586" s="48"/>
      <c r="H1586" s="20"/>
      <c r="I1586" s="21"/>
    </row>
    <row r="1587" spans="1:9">
      <c r="A1587" s="8"/>
      <c r="B1587" s="19"/>
      <c r="C1587" s="19"/>
      <c r="D1587" s="17">
        <f t="shared" ref="D1587:D1600" si="84">B1587-C1587</f>
        <v>0</v>
      </c>
      <c r="E1587" s="2" t="e">
        <f t="shared" ref="E1587:E1600" si="85">(B1587-C1587)/C1587</f>
        <v>#DIV/0!</v>
      </c>
      <c r="F1587" s="13"/>
      <c r="G1587" s="48"/>
      <c r="H1587" s="20"/>
      <c r="I1587" s="21"/>
    </row>
    <row r="1588" spans="1:9">
      <c r="A1588" s="8"/>
      <c r="B1588" s="19"/>
      <c r="C1588" s="19"/>
      <c r="D1588" s="17">
        <f t="shared" si="84"/>
        <v>0</v>
      </c>
      <c r="E1588" s="2" t="e">
        <f t="shared" si="85"/>
        <v>#DIV/0!</v>
      </c>
      <c r="F1588" s="13"/>
      <c r="G1588" s="48"/>
      <c r="H1588" s="20"/>
      <c r="I1588" s="21"/>
    </row>
    <row r="1589" spans="1:9">
      <c r="A1589" s="8"/>
      <c r="B1589" s="19"/>
      <c r="C1589" s="19"/>
      <c r="D1589" s="17">
        <f t="shared" si="84"/>
        <v>0</v>
      </c>
      <c r="E1589" s="2" t="e">
        <f t="shared" si="85"/>
        <v>#DIV/0!</v>
      </c>
      <c r="F1589" s="13"/>
      <c r="G1589" s="48"/>
      <c r="H1589" s="20"/>
      <c r="I1589" s="21"/>
    </row>
    <row r="1590" spans="1:9">
      <c r="A1590" s="8"/>
      <c r="B1590" s="19"/>
      <c r="C1590" s="19"/>
      <c r="D1590" s="17">
        <f t="shared" si="84"/>
        <v>0</v>
      </c>
      <c r="E1590" s="2" t="e">
        <f t="shared" si="85"/>
        <v>#DIV/0!</v>
      </c>
      <c r="F1590" s="13"/>
      <c r="G1590" s="48"/>
      <c r="H1590" s="20"/>
      <c r="I1590" s="21"/>
    </row>
    <row r="1591" spans="1:9">
      <c r="A1591" s="8"/>
      <c r="B1591" s="19"/>
      <c r="C1591" s="19"/>
      <c r="D1591" s="17">
        <f t="shared" si="84"/>
        <v>0</v>
      </c>
      <c r="E1591" s="2" t="e">
        <f t="shared" si="85"/>
        <v>#DIV/0!</v>
      </c>
      <c r="F1591" s="13"/>
      <c r="G1591" s="48"/>
      <c r="H1591" s="20"/>
      <c r="I1591" s="21"/>
    </row>
    <row r="1592" spans="1:9">
      <c r="A1592" s="8"/>
      <c r="B1592" s="19"/>
      <c r="C1592" s="19"/>
      <c r="D1592" s="17">
        <f t="shared" si="84"/>
        <v>0</v>
      </c>
      <c r="E1592" s="2" t="e">
        <f t="shared" si="85"/>
        <v>#DIV/0!</v>
      </c>
      <c r="F1592" s="13"/>
      <c r="G1592" s="48"/>
      <c r="H1592" s="20"/>
      <c r="I1592" s="21"/>
    </row>
    <row r="1593" spans="1:9">
      <c r="A1593" s="8"/>
      <c r="B1593" s="19"/>
      <c r="C1593" s="19"/>
      <c r="D1593" s="17">
        <f t="shared" si="84"/>
        <v>0</v>
      </c>
      <c r="E1593" s="2" t="e">
        <f t="shared" si="85"/>
        <v>#DIV/0!</v>
      </c>
      <c r="F1593" s="13"/>
      <c r="G1593" s="48"/>
      <c r="H1593" s="20"/>
      <c r="I1593" s="21"/>
    </row>
    <row r="1594" spans="1:9">
      <c r="A1594" s="8"/>
      <c r="B1594" s="19"/>
      <c r="C1594" s="19"/>
      <c r="D1594" s="17">
        <f t="shared" si="84"/>
        <v>0</v>
      </c>
      <c r="E1594" s="2" t="e">
        <f t="shared" si="85"/>
        <v>#DIV/0!</v>
      </c>
      <c r="F1594" s="13"/>
      <c r="G1594" s="48"/>
      <c r="H1594" s="20"/>
      <c r="I1594" s="21"/>
    </row>
    <row r="1595" spans="1:9">
      <c r="A1595" s="8"/>
      <c r="B1595" s="19"/>
      <c r="C1595" s="19"/>
      <c r="D1595" s="17">
        <f t="shared" si="84"/>
        <v>0</v>
      </c>
      <c r="E1595" s="2" t="e">
        <f t="shared" si="85"/>
        <v>#DIV/0!</v>
      </c>
      <c r="F1595" s="13"/>
      <c r="G1595" s="48"/>
      <c r="H1595" s="20"/>
      <c r="I1595" s="21"/>
    </row>
    <row r="1596" spans="1:9">
      <c r="A1596" s="8"/>
      <c r="B1596" s="19"/>
      <c r="C1596" s="19"/>
      <c r="D1596" s="17">
        <f t="shared" si="84"/>
        <v>0</v>
      </c>
      <c r="E1596" s="2" t="e">
        <f t="shared" si="85"/>
        <v>#DIV/0!</v>
      </c>
      <c r="F1596" s="13"/>
      <c r="G1596" s="48"/>
      <c r="H1596" s="20"/>
      <c r="I1596" s="21"/>
    </row>
    <row r="1597" spans="1:9">
      <c r="A1597" s="8"/>
      <c r="B1597" s="19"/>
      <c r="C1597" s="19"/>
      <c r="D1597" s="17">
        <f t="shared" si="84"/>
        <v>0</v>
      </c>
      <c r="E1597" s="2" t="e">
        <f t="shared" si="85"/>
        <v>#DIV/0!</v>
      </c>
      <c r="F1597" s="13"/>
      <c r="G1597" s="48"/>
      <c r="H1597" s="20"/>
      <c r="I1597" s="21"/>
    </row>
    <row r="1598" spans="1:9">
      <c r="A1598" s="8"/>
      <c r="B1598" s="19"/>
      <c r="C1598" s="19"/>
      <c r="D1598" s="17">
        <f t="shared" si="84"/>
        <v>0</v>
      </c>
      <c r="E1598" s="2" t="e">
        <f t="shared" si="85"/>
        <v>#DIV/0!</v>
      </c>
      <c r="F1598" s="13"/>
      <c r="G1598" s="48"/>
      <c r="H1598" s="20"/>
      <c r="I1598" s="21"/>
    </row>
    <row r="1599" spans="1:9">
      <c r="A1599" s="8"/>
      <c r="B1599" s="19"/>
      <c r="C1599" s="19"/>
      <c r="D1599" s="17">
        <f t="shared" si="84"/>
        <v>0</v>
      </c>
      <c r="E1599" s="2" t="e">
        <f t="shared" si="85"/>
        <v>#DIV/0!</v>
      </c>
      <c r="F1599" s="13"/>
      <c r="G1599" s="48"/>
      <c r="H1599" s="20"/>
      <c r="I1599" s="21"/>
    </row>
    <row r="1600" spans="1:9">
      <c r="A1600" s="8"/>
      <c r="B1600" s="19"/>
      <c r="C1600" s="19"/>
      <c r="D1600" s="17">
        <f t="shared" si="84"/>
        <v>0</v>
      </c>
      <c r="E1600" s="2" t="e">
        <f t="shared" si="85"/>
        <v>#DIV/0!</v>
      </c>
      <c r="F1600" s="13"/>
      <c r="G1600" s="48"/>
      <c r="H1600" s="20"/>
      <c r="I1600" s="21"/>
    </row>
  </sheetData>
  <mergeCells count="52">
    <mergeCell ref="A486:J486"/>
    <mergeCell ref="J487:J509"/>
    <mergeCell ref="J438:J485"/>
    <mergeCell ref="A1059:I1059"/>
    <mergeCell ref="J536:J601"/>
    <mergeCell ref="J511:J534"/>
    <mergeCell ref="A510:J510"/>
    <mergeCell ref="J790:J820"/>
    <mergeCell ref="J822:J834"/>
    <mergeCell ref="A835:J835"/>
    <mergeCell ref="A535:J535"/>
    <mergeCell ref="A602:J602"/>
    <mergeCell ref="J977:J1055"/>
    <mergeCell ref="A976:I976"/>
    <mergeCell ref="J897:J974"/>
    <mergeCell ref="J836:J840"/>
    <mergeCell ref="J231:J250"/>
    <mergeCell ref="J2:J43"/>
    <mergeCell ref="J167:J209"/>
    <mergeCell ref="A166:J166"/>
    <mergeCell ref="J45:J129"/>
    <mergeCell ref="J131:J165"/>
    <mergeCell ref="A44:J44"/>
    <mergeCell ref="A130:J130"/>
    <mergeCell ref="A210:J210"/>
    <mergeCell ref="A230:J230"/>
    <mergeCell ref="J211:J228"/>
    <mergeCell ref="A251:J251"/>
    <mergeCell ref="A380:J380"/>
    <mergeCell ref="J252:J288"/>
    <mergeCell ref="J312:J348"/>
    <mergeCell ref="A311:J311"/>
    <mergeCell ref="A289:J289"/>
    <mergeCell ref="A437:J437"/>
    <mergeCell ref="J381:J400"/>
    <mergeCell ref="J290:J310"/>
    <mergeCell ref="J403:J436"/>
    <mergeCell ref="A349:J349"/>
    <mergeCell ref="J350:J379"/>
    <mergeCell ref="A401:J401"/>
    <mergeCell ref="J603:J659"/>
    <mergeCell ref="A660:J660"/>
    <mergeCell ref="A737:J737"/>
    <mergeCell ref="J720:J736"/>
    <mergeCell ref="A719:J719"/>
    <mergeCell ref="J661:J718"/>
    <mergeCell ref="J843:J895"/>
    <mergeCell ref="A789:J789"/>
    <mergeCell ref="J738:J788"/>
    <mergeCell ref="A821:J821"/>
    <mergeCell ref="A896:J896"/>
    <mergeCell ref="A841:J841"/>
  </mergeCells>
  <pageMargins left="0.7" right="0.7" top="0.75" bottom="0.75" header="0.3" footer="0.3"/>
  <pageSetup paperSize="5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11A1-6347-4BE4-A10A-FFCC3B78DEE4}">
  <dimension ref="A1:D16"/>
  <sheetViews>
    <sheetView workbookViewId="0">
      <selection activeCell="Q21" sqref="Q21"/>
    </sheetView>
  </sheetViews>
  <sheetFormatPr defaultRowHeight="15"/>
  <cols>
    <col min="1" max="1" width="14.28515625" bestFit="1" customWidth="1"/>
    <col min="2" max="2" width="26.85546875" bestFit="1" customWidth="1"/>
    <col min="3" max="3" width="21.5703125" bestFit="1" customWidth="1"/>
    <col min="4" max="4" width="19.85546875" bestFit="1" customWidth="1"/>
    <col min="5" max="6" width="26.85546875" bestFit="1" customWidth="1"/>
  </cols>
  <sheetData>
    <row r="1" spans="1:4">
      <c r="A1" s="45" t="s">
        <v>7</v>
      </c>
      <c r="B1" t="s">
        <v>1583</v>
      </c>
    </row>
    <row r="2" spans="1:4">
      <c r="A2" s="45" t="s">
        <v>8</v>
      </c>
      <c r="B2" t="s">
        <v>1583</v>
      </c>
    </row>
    <row r="4" spans="1:4">
      <c r="A4" s="109" t="s">
        <v>6</v>
      </c>
      <c r="B4" t="s">
        <v>1584</v>
      </c>
      <c r="C4" t="s">
        <v>1585</v>
      </c>
      <c r="D4" t="s">
        <v>1586</v>
      </c>
    </row>
    <row r="5" spans="1:4">
      <c r="A5" s="99" t="s">
        <v>12</v>
      </c>
      <c r="B5" s="104">
        <v>33353068.829999998</v>
      </c>
      <c r="C5" s="104">
        <v>241253818.55000001</v>
      </c>
      <c r="D5" s="104">
        <v>207900749.72</v>
      </c>
    </row>
    <row r="6" spans="1:4">
      <c r="A6" s="99" t="s">
        <v>73</v>
      </c>
      <c r="B6" s="104">
        <v>275379557.13</v>
      </c>
      <c r="C6" s="104">
        <v>1647621897.3899999</v>
      </c>
      <c r="D6" s="104">
        <v>1372242340.26</v>
      </c>
    </row>
    <row r="7" spans="1:4">
      <c r="A7" s="99" t="s">
        <v>222</v>
      </c>
      <c r="B7" s="104">
        <v>16159504.92</v>
      </c>
      <c r="C7" s="104">
        <v>104341259.99000001</v>
      </c>
      <c r="D7" s="104">
        <v>88181755.069999993</v>
      </c>
    </row>
    <row r="8" spans="1:4">
      <c r="A8" s="99" t="s">
        <v>290</v>
      </c>
      <c r="B8" s="104">
        <v>31699128.089999996</v>
      </c>
      <c r="C8" s="104">
        <v>293488431.41000003</v>
      </c>
      <c r="D8" s="104">
        <v>261789303.31999999</v>
      </c>
    </row>
    <row r="9" spans="1:4">
      <c r="A9" s="99" t="s">
        <v>388</v>
      </c>
      <c r="B9" s="104">
        <v>24943493.34</v>
      </c>
      <c r="C9" s="104">
        <v>214632931.94</v>
      </c>
      <c r="D9" s="104">
        <v>189689438.59999999</v>
      </c>
    </row>
    <row r="10" spans="1:4">
      <c r="A10" s="99" t="s">
        <v>431</v>
      </c>
      <c r="B10" s="104">
        <v>18530377.52</v>
      </c>
      <c r="C10" s="104">
        <v>437474345.12</v>
      </c>
      <c r="D10" s="104">
        <v>418869067.60000002</v>
      </c>
    </row>
    <row r="11" spans="1:4">
      <c r="A11" s="99" t="s">
        <v>475</v>
      </c>
      <c r="B11" s="104">
        <v>18515720</v>
      </c>
      <c r="C11" s="104">
        <v>150851614</v>
      </c>
      <c r="D11" s="104">
        <v>132335894</v>
      </c>
    </row>
    <row r="12" spans="1:4">
      <c r="A12" s="99" t="s">
        <v>550</v>
      </c>
      <c r="B12" s="104">
        <v>7091438</v>
      </c>
      <c r="C12" s="104">
        <v>80754137.439999998</v>
      </c>
      <c r="D12" s="104">
        <v>73662699.439999998</v>
      </c>
    </row>
    <row r="13" spans="1:4">
      <c r="A13" s="99" t="s">
        <v>595</v>
      </c>
      <c r="B13" s="104">
        <v>55794224</v>
      </c>
      <c r="C13" s="104">
        <v>592327628.5</v>
      </c>
      <c r="D13" s="104">
        <v>536533404.5</v>
      </c>
    </row>
    <row r="14" spans="1:4">
      <c r="A14" s="99" t="s">
        <v>656</v>
      </c>
      <c r="B14" s="104">
        <v>19434904.550000001</v>
      </c>
      <c r="C14" s="104">
        <v>113289354.55</v>
      </c>
      <c r="D14" s="104">
        <v>93854450</v>
      </c>
    </row>
    <row r="15" spans="1:4">
      <c r="A15" s="99" t="s">
        <v>696</v>
      </c>
      <c r="B15" s="104">
        <v>7401445.4000000004</v>
      </c>
      <c r="C15" s="104">
        <v>128520182</v>
      </c>
      <c r="D15" s="104">
        <v>121118736.59999999</v>
      </c>
    </row>
    <row r="16" spans="1:4">
      <c r="A16" t="s">
        <v>1587</v>
      </c>
      <c r="B16" s="104">
        <v>508302861.77999991</v>
      </c>
      <c r="C16" s="104">
        <v>4004555600.8899999</v>
      </c>
      <c r="D16" s="104">
        <v>3496177839.1099997</v>
      </c>
    </row>
  </sheetData>
  <printOptions verticalCentered="1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BF68-F526-4171-8D99-6C058DA9DB17}">
  <sheetPr>
    <pageSetUpPr fitToPage="1"/>
  </sheetPr>
  <dimension ref="A1:L31"/>
  <sheetViews>
    <sheetView workbookViewId="0">
      <selection activeCell="B15" sqref="B15"/>
    </sheetView>
  </sheetViews>
  <sheetFormatPr defaultRowHeight="15"/>
  <cols>
    <col min="1" max="1" width="14.28515625" bestFit="1" customWidth="1"/>
    <col min="2" max="2" width="27.85546875" style="25" bestFit="1" customWidth="1"/>
    <col min="3" max="3" width="22.42578125" style="25" bestFit="1" customWidth="1"/>
    <col min="4" max="4" width="20.85546875" style="25" bestFit="1" customWidth="1"/>
    <col min="5" max="5" width="26.5703125" bestFit="1" customWidth="1"/>
    <col min="6" max="9" width="11.7109375" bestFit="1" customWidth="1"/>
    <col min="10" max="10" width="12.5703125" bestFit="1" customWidth="1"/>
    <col min="11" max="11" width="11.7109375" bestFit="1" customWidth="1"/>
    <col min="12" max="12" width="12.5703125" bestFit="1" customWidth="1"/>
    <col min="13" max="21" width="11.7109375" bestFit="1" customWidth="1"/>
    <col min="22" max="22" width="12.5703125" bestFit="1" customWidth="1"/>
    <col min="23" max="25" width="11.7109375" bestFit="1" customWidth="1"/>
    <col min="26" max="26" width="12.5703125" bestFit="1" customWidth="1"/>
    <col min="27" max="45" width="11.7109375" bestFit="1" customWidth="1"/>
    <col min="46" max="46" width="12.5703125" bestFit="1" customWidth="1"/>
    <col min="47" max="57" width="11.7109375" bestFit="1" customWidth="1"/>
    <col min="58" max="58" width="12.5703125" bestFit="1" customWidth="1"/>
    <col min="59" max="77" width="11.7109375" bestFit="1" customWidth="1"/>
    <col min="78" max="78" width="11.140625" bestFit="1" customWidth="1"/>
    <col min="79" max="79" width="19.85546875" bestFit="1" customWidth="1"/>
    <col min="80" max="80" width="12.5703125" bestFit="1" customWidth="1"/>
    <col min="81" max="89" width="11.7109375" bestFit="1" customWidth="1"/>
    <col min="90" max="90" width="12.5703125" bestFit="1" customWidth="1"/>
    <col min="91" max="99" width="11.7109375" bestFit="1" customWidth="1"/>
    <col min="100" max="100" width="12.5703125" bestFit="1" customWidth="1"/>
    <col min="101" max="103" width="11.7109375" bestFit="1" customWidth="1"/>
    <col min="104" max="104" width="12.5703125" bestFit="1" customWidth="1"/>
    <col min="105" max="123" width="11.7109375" bestFit="1" customWidth="1"/>
    <col min="124" max="124" width="12.5703125" bestFit="1" customWidth="1"/>
    <col min="125" max="135" width="11.7109375" bestFit="1" customWidth="1"/>
    <col min="136" max="136" width="12.5703125" bestFit="1" customWidth="1"/>
    <col min="137" max="155" width="11.7109375" bestFit="1" customWidth="1"/>
    <col min="156" max="156" width="11.140625" bestFit="1" customWidth="1"/>
    <col min="157" max="157" width="26.85546875" bestFit="1" customWidth="1"/>
    <col min="158" max="158" width="12.5703125" bestFit="1" customWidth="1"/>
    <col min="159" max="167" width="11.7109375" bestFit="1" customWidth="1"/>
    <col min="168" max="168" width="12.5703125" bestFit="1" customWidth="1"/>
    <col min="169" max="233" width="11.7109375" bestFit="1" customWidth="1"/>
    <col min="234" max="234" width="11.140625" bestFit="1" customWidth="1"/>
    <col min="235" max="235" width="26.7109375" bestFit="1" customWidth="1"/>
    <col min="236" max="236" width="25" bestFit="1" customWidth="1"/>
    <col min="237" max="237" width="32" bestFit="1" customWidth="1"/>
  </cols>
  <sheetData>
    <row r="1" spans="1:4">
      <c r="A1" s="45" t="s">
        <v>7</v>
      </c>
      <c r="B1" t="s">
        <v>1583</v>
      </c>
    </row>
    <row r="2" spans="1:4">
      <c r="A2" s="45" t="s">
        <v>8</v>
      </c>
      <c r="B2" t="s">
        <v>1583</v>
      </c>
    </row>
    <row r="3" spans="1:4">
      <c r="A3" s="45" t="s">
        <v>0</v>
      </c>
      <c r="B3" t="s">
        <v>1583</v>
      </c>
    </row>
    <row r="5" spans="1:4">
      <c r="A5" s="45" t="s">
        <v>6</v>
      </c>
      <c r="B5" s="25" t="s">
        <v>1584</v>
      </c>
      <c r="C5" s="25" t="s">
        <v>1585</v>
      </c>
      <c r="D5" s="25" t="s">
        <v>1586</v>
      </c>
    </row>
    <row r="6" spans="1:4">
      <c r="A6" t="s">
        <v>725</v>
      </c>
      <c r="B6" s="25">
        <v>38738923.960000001</v>
      </c>
      <c r="C6" s="25">
        <v>212637491.03999999</v>
      </c>
      <c r="D6" s="25">
        <v>174053553.02999997</v>
      </c>
    </row>
    <row r="7" spans="1:4">
      <c r="A7" t="s">
        <v>12</v>
      </c>
      <c r="B7" s="25">
        <v>27044688.289999999</v>
      </c>
      <c r="C7" s="25">
        <v>256626216.38999999</v>
      </c>
      <c r="D7" s="25">
        <v>229581528.10000002</v>
      </c>
    </row>
    <row r="8" spans="1:4">
      <c r="A8" t="s">
        <v>73</v>
      </c>
      <c r="B8" s="25">
        <v>14039960.9</v>
      </c>
      <c r="C8" s="25">
        <v>183418875</v>
      </c>
      <c r="D8" s="25">
        <v>169378914.09999999</v>
      </c>
    </row>
    <row r="9" spans="1:4">
      <c r="A9" t="s">
        <v>222</v>
      </c>
      <c r="B9" s="25">
        <v>31569746.600000001</v>
      </c>
      <c r="C9" s="25">
        <v>208024642.15000001</v>
      </c>
      <c r="D9" s="25">
        <v>176454895.55000001</v>
      </c>
    </row>
    <row r="10" spans="1:4">
      <c r="A10" t="s">
        <v>290</v>
      </c>
      <c r="B10" s="25">
        <v>43089271.659999996</v>
      </c>
      <c r="C10" s="25">
        <v>299271790.03999996</v>
      </c>
      <c r="D10" s="25">
        <v>256182518.38</v>
      </c>
    </row>
    <row r="11" spans="1:4">
      <c r="A11" t="s">
        <v>388</v>
      </c>
      <c r="B11" s="25">
        <v>16747891.710000003</v>
      </c>
      <c r="C11" s="25">
        <v>250352835.78999999</v>
      </c>
      <c r="D11" s="25">
        <v>233604944.07999992</v>
      </c>
    </row>
    <row r="12" spans="1:4">
      <c r="A12" t="s">
        <v>431</v>
      </c>
      <c r="B12" s="25">
        <v>12815281.540000003</v>
      </c>
      <c r="C12" s="25">
        <v>146190052.71999997</v>
      </c>
      <c r="D12" s="25">
        <v>133374771.17999999</v>
      </c>
    </row>
    <row r="13" spans="1:4">
      <c r="A13" t="s">
        <v>475</v>
      </c>
      <c r="B13" s="25">
        <v>6228691.2000000002</v>
      </c>
      <c r="C13" s="25">
        <v>87060568.900000006</v>
      </c>
      <c r="D13" s="25">
        <v>80831877.700000003</v>
      </c>
    </row>
    <row r="14" spans="1:4">
      <c r="A14" t="s">
        <v>550</v>
      </c>
      <c r="B14" s="25">
        <v>15925431.040000003</v>
      </c>
      <c r="C14" s="25">
        <v>240188029.19999999</v>
      </c>
      <c r="D14" s="25">
        <v>224262598.16000003</v>
      </c>
    </row>
    <row r="15" spans="1:4">
      <c r="A15" t="s">
        <v>595</v>
      </c>
      <c r="B15" s="25">
        <v>6881778</v>
      </c>
      <c r="C15" s="25">
        <v>118372309</v>
      </c>
      <c r="D15" s="25">
        <v>111490531</v>
      </c>
    </row>
    <row r="16" spans="1:4">
      <c r="A16" t="s">
        <v>656</v>
      </c>
      <c r="B16" s="25">
        <v>20693700.560000002</v>
      </c>
      <c r="C16" s="25">
        <v>340261103</v>
      </c>
      <c r="D16" s="25">
        <v>319567402.44</v>
      </c>
    </row>
    <row r="17" spans="1:12">
      <c r="A17" t="s">
        <v>696</v>
      </c>
      <c r="B17" s="25">
        <v>40657529</v>
      </c>
      <c r="C17" s="25">
        <v>87982639</v>
      </c>
      <c r="D17" s="25">
        <v>47325110</v>
      </c>
    </row>
    <row r="18" spans="1:12">
      <c r="A18" t="s">
        <v>1587</v>
      </c>
      <c r="B18" s="25">
        <v>274432894.45999998</v>
      </c>
      <c r="C18" s="25">
        <v>2430386552.23</v>
      </c>
      <c r="D18" s="25">
        <v>2156108643.7200003</v>
      </c>
    </row>
    <row r="19" spans="1:12">
      <c r="B19"/>
      <c r="C19"/>
      <c r="D19"/>
    </row>
    <row r="31" spans="1:12">
      <c r="L31" s="111"/>
    </row>
  </sheetData>
  <printOptions horizontalCentered="1" verticalCentered="1"/>
  <pageMargins left="0.7" right="0.7" top="0.75" bottom="0.75" header="0.3" footer="0.3"/>
  <pageSetup paperSize="5" fitToHeight="0"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2B78-C666-4D11-8F8B-FC9B7150DD2D}">
  <sheetPr>
    <pageSetUpPr fitToPage="1"/>
  </sheetPr>
  <dimension ref="A1:D12"/>
  <sheetViews>
    <sheetView workbookViewId="0">
      <selection activeCell="N32" sqref="N32"/>
    </sheetView>
  </sheetViews>
  <sheetFormatPr defaultRowHeight="15"/>
  <cols>
    <col min="1" max="1" width="14.28515625" bestFit="1" customWidth="1"/>
    <col min="2" max="2" width="27.85546875" style="25" bestFit="1" customWidth="1"/>
    <col min="3" max="3" width="22.42578125" style="25" bestFit="1" customWidth="1"/>
    <col min="4" max="4" width="20.85546875" style="25" bestFit="1" customWidth="1"/>
    <col min="5" max="5" width="20.85546875" bestFit="1" customWidth="1"/>
    <col min="6" max="6" width="16.85546875" bestFit="1" customWidth="1"/>
    <col min="7" max="7" width="32" bestFit="1" customWidth="1"/>
    <col min="8" max="8" width="26.7109375" bestFit="1" customWidth="1"/>
    <col min="9" max="9" width="25" bestFit="1" customWidth="1"/>
    <col min="10" max="45" width="8.7109375" bestFit="1" customWidth="1"/>
    <col min="46" max="50" width="9.85546875" bestFit="1" customWidth="1"/>
    <col min="51" max="51" width="11.140625" bestFit="1" customWidth="1"/>
    <col min="52" max="52" width="12.85546875" bestFit="1" customWidth="1"/>
  </cols>
  <sheetData>
    <row r="1" spans="1:4">
      <c r="B1"/>
    </row>
    <row r="2" spans="1:4">
      <c r="A2" s="45" t="s">
        <v>7</v>
      </c>
      <c r="B2" t="s">
        <v>1583</v>
      </c>
    </row>
    <row r="3" spans="1:4">
      <c r="A3" s="45" t="s">
        <v>8</v>
      </c>
      <c r="B3" t="s">
        <v>1583</v>
      </c>
    </row>
    <row r="4" spans="1:4">
      <c r="A4" s="45" t="s">
        <v>0</v>
      </c>
      <c r="B4" t="s">
        <v>1583</v>
      </c>
    </row>
    <row r="5" spans="1:4">
      <c r="B5"/>
      <c r="C5"/>
      <c r="D5"/>
    </row>
    <row r="6" spans="1:4">
      <c r="A6" s="45" t="s">
        <v>6</v>
      </c>
      <c r="B6" s="25" t="s">
        <v>1584</v>
      </c>
      <c r="C6" s="25" t="s">
        <v>1585</v>
      </c>
      <c r="D6" s="25" t="s">
        <v>1586</v>
      </c>
    </row>
    <row r="7" spans="1:4">
      <c r="A7" t="s">
        <v>1296</v>
      </c>
      <c r="B7" s="25">
        <v>19456065</v>
      </c>
      <c r="C7" s="25">
        <v>309508732</v>
      </c>
      <c r="D7" s="25">
        <v>290052667</v>
      </c>
    </row>
    <row r="8" spans="1:4">
      <c r="A8" t="s">
        <v>1354</v>
      </c>
      <c r="B8" s="25">
        <v>108130657.21000001</v>
      </c>
      <c r="C8" s="25">
        <v>900180099.21000004</v>
      </c>
      <c r="D8" s="25">
        <v>792049442</v>
      </c>
    </row>
    <row r="9" spans="1:4">
      <c r="A9" t="s">
        <v>1462</v>
      </c>
      <c r="B9" s="25">
        <v>39512485.100000001</v>
      </c>
      <c r="C9" s="25">
        <v>928574638.10000002</v>
      </c>
      <c r="D9" s="25">
        <v>889062153</v>
      </c>
    </row>
    <row r="10" spans="1:4">
      <c r="A10" t="s">
        <v>1559</v>
      </c>
      <c r="B10" s="25">
        <v>7224565.5</v>
      </c>
      <c r="C10" s="25">
        <v>70247628</v>
      </c>
      <c r="D10" s="25">
        <v>63023062.5</v>
      </c>
    </row>
    <row r="11" spans="1:4">
      <c r="A11" t="s">
        <v>1587</v>
      </c>
      <c r="B11" s="25">
        <v>174323772.81</v>
      </c>
      <c r="C11" s="25">
        <v>2208511097.3099999</v>
      </c>
      <c r="D11" s="25">
        <v>2034187324.5</v>
      </c>
    </row>
    <row r="12" spans="1:4">
      <c r="B12"/>
      <c r="C12"/>
      <c r="D12"/>
    </row>
  </sheetData>
  <printOptions horizontalCentered="1" verticalCentered="1"/>
  <pageMargins left="0.7" right="0.7" top="0.75" bottom="0.75" header="0.3" footer="0.3"/>
  <pageSetup paperSize="5" fitToHeight="0"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72DD12CBCEC445A5AC68557AD1E45B" ma:contentTypeVersion="8" ma:contentTypeDescription="Crear nuevo documento." ma:contentTypeScope="" ma:versionID="6767b303d835ba4f4b7c54ee6a606a2f">
  <xsd:schema xmlns:xsd="http://www.w3.org/2001/XMLSchema" xmlns:xs="http://www.w3.org/2001/XMLSchema" xmlns:p="http://schemas.microsoft.com/office/2006/metadata/properties" xmlns:ns3="71343bfe-39a3-4f53-bdac-1a3057c233eb" xmlns:ns4="ec729342-f22a-4556-b971-a848c073de08" targetNamespace="http://schemas.microsoft.com/office/2006/metadata/properties" ma:root="true" ma:fieldsID="3ec276b8cc96c2eb21c0cc50f9f16fdb" ns3:_="" ns4:_="">
    <xsd:import namespace="71343bfe-39a3-4f53-bdac-1a3057c233eb"/>
    <xsd:import namespace="ec729342-f22a-4556-b971-a848c073de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43bfe-39a3-4f53-bdac-1a3057c23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29342-f22a-4556-b971-a848c073de0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343bfe-39a3-4f53-bdac-1a3057c233eb" xsi:nil="true"/>
  </documentManagement>
</p:properties>
</file>

<file path=customXml/itemProps1.xml><?xml version="1.0" encoding="utf-8"?>
<ds:datastoreItem xmlns:ds="http://schemas.openxmlformats.org/officeDocument/2006/customXml" ds:itemID="{7C34AB29-1A7F-4AF4-9489-2D8F7D7841BB}"/>
</file>

<file path=customXml/itemProps2.xml><?xml version="1.0" encoding="utf-8"?>
<ds:datastoreItem xmlns:ds="http://schemas.openxmlformats.org/officeDocument/2006/customXml" ds:itemID="{AA700315-D423-440B-A2CB-F82B544A04D4}"/>
</file>

<file path=customXml/itemProps3.xml><?xml version="1.0" encoding="utf-8"?>
<ds:datastoreItem xmlns:ds="http://schemas.openxmlformats.org/officeDocument/2006/customXml" ds:itemID="{B502F755-6C0E-4DB8-A44D-2DDF5CDA02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compras</dc:creator>
  <cp:keywords/>
  <dc:description/>
  <cp:lastModifiedBy/>
  <cp:revision/>
  <dcterms:created xsi:type="dcterms:W3CDTF">2015-06-05T18:19:34Z</dcterms:created>
  <dcterms:modified xsi:type="dcterms:W3CDTF">2026-04-10T17:12:55Z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0x010100EA72DD12CBCEC445A5AC68557AD1E45B</vt:lpwstr>
  </property>
</Properties>
</file>